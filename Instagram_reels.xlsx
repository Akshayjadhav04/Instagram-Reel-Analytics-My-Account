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19ded7db61cc760/Desktop/instagram_account_analytics/data/"/>
    </mc:Choice>
  </mc:AlternateContent>
  <xr:revisionPtr revIDLastSave="0" documentId="8_{A40536AA-2169-4F18-9E5F-E5F945ED3DB8}" xr6:coauthVersionLast="47" xr6:coauthVersionMax="47" xr10:uidLastSave="{00000000-0000-0000-0000-000000000000}"/>
  <bookViews>
    <workbookView xWindow="-110" yWindow="-110" windowWidth="19420" windowHeight="11020" xr2:uid="{E88A7188-A7AD-405F-8812-EEE4FD5F9399}"/>
  </bookViews>
  <sheets>
    <sheet name="Dec-01-2024_Dec-01-2025_13873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</calcChain>
</file>

<file path=xl/sharedStrings.xml><?xml version="1.0" encoding="utf-8"?>
<sst xmlns="http://schemas.openxmlformats.org/spreadsheetml/2006/main" count="231" uniqueCount="94">
  <si>
    <t>Post ID</t>
  </si>
  <si>
    <t>Duration (sec)</t>
  </si>
  <si>
    <t>Date</t>
  </si>
  <si>
    <t>Views</t>
  </si>
  <si>
    <t>Reach</t>
  </si>
  <si>
    <t>Likes</t>
  </si>
  <si>
    <t>Shares</t>
  </si>
  <si>
    <t>Follows</t>
  </si>
  <si>
    <t>Comments</t>
  </si>
  <si>
    <t>Saves</t>
  </si>
  <si>
    <t>Average Play time</t>
  </si>
  <si>
    <t>Watch Time</t>
  </si>
  <si>
    <t>50d 10h</t>
  </si>
  <si>
    <t>116d 6h</t>
  </si>
  <si>
    <t>3d 12h</t>
  </si>
  <si>
    <t>2d 16h</t>
  </si>
  <si>
    <t>4d 12h</t>
  </si>
  <si>
    <t>1d 5h</t>
  </si>
  <si>
    <t>3d 7h</t>
  </si>
  <si>
    <t>82d 4h</t>
  </si>
  <si>
    <t>82d 13h</t>
  </si>
  <si>
    <t>1d 11h</t>
  </si>
  <si>
    <t>2d 9h</t>
  </si>
  <si>
    <t>1d 17h</t>
  </si>
  <si>
    <t>3d 14h</t>
  </si>
  <si>
    <t>2d 8h</t>
  </si>
  <si>
    <t>59d 22h</t>
  </si>
  <si>
    <t>1d 22h</t>
  </si>
  <si>
    <t>3d 20h</t>
  </si>
  <si>
    <t>2d</t>
  </si>
  <si>
    <t>49d 11h</t>
  </si>
  <si>
    <t>1d 23h</t>
  </si>
  <si>
    <t>3d 22h</t>
  </si>
  <si>
    <t>38d 18h</t>
  </si>
  <si>
    <t>4d 16h</t>
  </si>
  <si>
    <t>17d 12h</t>
  </si>
  <si>
    <t>78d 22h</t>
  </si>
  <si>
    <t>291d 18h</t>
  </si>
  <si>
    <t>130d 13h</t>
  </si>
  <si>
    <t>31d 13h</t>
  </si>
  <si>
    <t>365d 10h</t>
  </si>
  <si>
    <t>99d</t>
  </si>
  <si>
    <t>15d 23h</t>
  </si>
  <si>
    <t>71d 21h</t>
  </si>
  <si>
    <t>145d 6h</t>
  </si>
  <si>
    <t>24d 2h</t>
  </si>
  <si>
    <t>20d 1h</t>
  </si>
  <si>
    <t>55d 9h</t>
  </si>
  <si>
    <t>136d 8h</t>
  </si>
  <si>
    <t>8d 13h</t>
  </si>
  <si>
    <t>10d 20h</t>
  </si>
  <si>
    <t>42d 14h</t>
  </si>
  <si>
    <t>161d 9h</t>
  </si>
  <si>
    <t>7d 17h</t>
  </si>
  <si>
    <t>8d 22h</t>
  </si>
  <si>
    <t>10d 2h</t>
  </si>
  <si>
    <t>28d 12h</t>
  </si>
  <si>
    <t>41d 10h</t>
  </si>
  <si>
    <t>6d 23h</t>
  </si>
  <si>
    <t>4d 19h</t>
  </si>
  <si>
    <t>571d</t>
  </si>
  <si>
    <t>12d 16h</t>
  </si>
  <si>
    <t>8d 5h</t>
  </si>
  <si>
    <t>204d 4h</t>
  </si>
  <si>
    <t>4d 9h</t>
  </si>
  <si>
    <t>6d 1h</t>
  </si>
  <si>
    <t>13d 20h</t>
  </si>
  <si>
    <t>29d 18h</t>
  </si>
  <si>
    <t>36d 15h</t>
  </si>
  <si>
    <t>22d 17h</t>
  </si>
  <si>
    <t>4d 14h</t>
  </si>
  <si>
    <t>9d 1h</t>
  </si>
  <si>
    <t>4d 21h</t>
  </si>
  <si>
    <t>25d 17h</t>
  </si>
  <si>
    <t>381d 8h</t>
  </si>
  <si>
    <t>132d 9h</t>
  </si>
  <si>
    <t>230d 22h</t>
  </si>
  <si>
    <t>196d 1h</t>
  </si>
  <si>
    <t>7d 9h</t>
  </si>
  <si>
    <t>Publish time</t>
  </si>
  <si>
    <t>Post Hour</t>
  </si>
  <si>
    <t>Post Day</t>
  </si>
  <si>
    <t>Friday</t>
  </si>
  <si>
    <t>Thursday</t>
  </si>
  <si>
    <t>Wednesday</t>
  </si>
  <si>
    <t>Tuesday</t>
  </si>
  <si>
    <t>Monday</t>
  </si>
  <si>
    <t>Sunday</t>
  </si>
  <si>
    <t>Saturday</t>
  </si>
  <si>
    <t>Engagement Rate</t>
  </si>
  <si>
    <t>Retention Ratio</t>
  </si>
  <si>
    <t>Content Type</t>
  </si>
  <si>
    <t>Motivation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</si>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</sst>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21" fontId="0" fillId="0" borderId="0" xfId="0" applyNumberFormat="1"/>
    <xf numFmtId="14" fontId="0" fillId="0" borderId="0" xfId="0" applyNumberForma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415158-0CE8-4240-A8AE-D5C76E2F4A85}" name="Table2" displayName="Table2" ref="A1:R72" totalsRowShown="0">
  <autoFilter ref="A1:R72" xr:uid="{7D415158-0CE8-4240-A8AE-D5C76E2F4A85}"/>
  <tableColumns count="18">
    <tableColumn id="1" xr3:uid="{350DCA71-B387-43A5-AB02-C46DE7DF0444}" name="Post ID"/>
    <tableColumn id="2" xr3:uid="{9417ABB3-4EB1-4235-A07D-F8F5EC8805EC}" name="Content Type"/>
    <tableColumn id="3" xr3:uid="{815EEDBC-EB15-40DE-BF71-1C16F1C8A058}" name="Duration (sec)"/>
    <tableColumn id="4" xr3:uid="{70C846DC-D828-4075-864E-555374AE2C53}" name="Date" dataDxfId="2"/>
    <tableColumn id="5" xr3:uid="{F9E8E797-7525-4731-93C4-A7568FF6B260}" name="Publish time"/>
    <tableColumn id="6" xr3:uid="{D18F76D3-FFED-43BB-ABCB-261300A6E4EA}" name="Reach"/>
    <tableColumn id="7" xr3:uid="{47797535-8E42-4E19-BF2F-073B07187788}" name="Views"/>
    <tableColumn id="8" xr3:uid="{2B74A709-598B-4920-BD6E-8EACB486F749}" name="Likes"/>
    <tableColumn id="9" xr3:uid="{B0EE88EF-EB0B-4B96-BF37-71D68BDD193A}" name="Shares"/>
    <tableColumn id="10" xr3:uid="{6BE50CAB-770B-4B51-A0BF-8988D6D5DE2B}" name="Comments"/>
    <tableColumn id="11" xr3:uid="{CA9EDF8D-7ED4-4BEA-B3C4-379F2D7357CB}" name="Saves"/>
    <tableColumn id="12" xr3:uid="{599C1C93-39A6-44B2-9C60-0028A35AFBA5}" name="Follows"/>
    <tableColumn id="13" xr3:uid="{B1D4CBD7-0888-4688-9DBB-895F38E2EB4C}" name="Average Play time"/>
    <tableColumn id="14" xr3:uid="{BB0EF221-68D5-4916-8C28-E41F667078C8}" name="Watch Time"/>
    <tableColumn id="15" xr3:uid="{BA6A9F69-3B27-42D7-938A-82F872D167E5}" name="Post Hour"/>
    <tableColumn id="16" xr3:uid="{59157EBC-70E7-47BB-9D91-D05ADA83E958}" name="Post Day"/>
    <tableColumn id="17" xr3:uid="{D68D628E-24BB-4081-A9C2-2CE65D178105}" name="Engagement Rate" dataDxfId="1">
      <calculatedColumnFormula>(Table2[[#This Row],[Likes]]+Table2[[#This Row],[Comments]]+Table2[[#This Row],[Shares]]+Table2[[#This Row],[Saves]])/Table2[[#This Row],[Reach]]</calculatedColumnFormula>
    </tableColumn>
    <tableColumn id="18" xr3:uid="{6DB4F36D-1E70-443A-955B-C9424C86FD86}" name="Retention Ratio" dataDxfId="0">
      <calculatedColumnFormula>Table2[[#This Row],[Average Play time]]/Table2[[#This Row],[Duration (sec)]]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93F6-DC98-4764-A8D0-978D06649039}">
  <dimension ref="A1:R72"/>
  <sheetViews>
    <sheetView tabSelected="1" topLeftCell="C68" zoomScale="74" zoomScaleNormal="145" workbookViewId="0">
      <selection activeCell="K88" sqref="K88"/>
    </sheetView>
  </sheetViews>
  <sheetFormatPr defaultRowHeight="14.5" x14ac:dyDescent="0.35"/>
  <cols>
    <col min="1" max="1" width="8.81640625" customWidth="1"/>
    <col min="2" max="2" width="81.36328125" bestFit="1" customWidth="1"/>
    <col min="3" max="3" width="14.6328125" customWidth="1"/>
    <col min="4" max="4" width="15.90625" style="4" bestFit="1" customWidth="1"/>
    <col min="5" max="5" width="13.36328125" customWidth="1"/>
    <col min="6" max="6" width="8.1796875" customWidth="1"/>
    <col min="8" max="8" width="7.26953125" customWidth="1"/>
    <col min="9" max="9" width="8.6328125" customWidth="1"/>
    <col min="10" max="10" width="12.1796875" customWidth="1"/>
    <col min="11" max="11" width="7.7265625" customWidth="1"/>
    <col min="12" max="12" width="9.36328125" customWidth="1"/>
    <col min="13" max="13" width="17.7265625" customWidth="1"/>
    <col min="14" max="14" width="12.6328125" customWidth="1"/>
    <col min="15" max="15" width="11.08984375" customWidth="1"/>
    <col min="16" max="16" width="25.08984375" customWidth="1"/>
    <col min="17" max="17" width="17.36328125" bestFit="1" customWidth="1"/>
    <col min="18" max="18" width="18.90625" customWidth="1"/>
  </cols>
  <sheetData>
    <row r="1" spans="1:18" x14ac:dyDescent="0.35">
      <c r="A1" t="s">
        <v>0</v>
      </c>
      <c r="B1" t="s">
        <v>91</v>
      </c>
      <c r="C1" t="s">
        <v>1</v>
      </c>
      <c r="D1" s="4" t="s">
        <v>2</v>
      </c>
      <c r="E1" t="s">
        <v>79</v>
      </c>
      <c r="F1" t="s">
        <v>4</v>
      </c>
      <c r="G1" t="s">
        <v>3</v>
      </c>
      <c r="H1" t="s">
        <v>5</v>
      </c>
      <c r="I1" t="s">
        <v>6</v>
      </c>
      <c r="J1" t="s">
        <v>8</v>
      </c>
      <c r="K1" t="s">
        <v>9</v>
      </c>
      <c r="L1" t="s">
        <v>7</v>
      </c>
      <c r="M1" t="s">
        <v>10</v>
      </c>
      <c r="N1" t="s">
        <v>11</v>
      </c>
      <c r="O1" t="s">
        <v>80</v>
      </c>
      <c r="P1" t="s">
        <v>81</v>
      </c>
      <c r="Q1" t="s">
        <v>89</v>
      </c>
      <c r="R1" t="s">
        <v>90</v>
      </c>
    </row>
    <row r="2" spans="1:18" x14ac:dyDescent="0.35">
      <c r="A2">
        <v>1</v>
      </c>
      <c r="B2" s="1" t="s">
        <v>92</v>
      </c>
      <c r="C2">
        <v>28</v>
      </c>
      <c r="D2" s="4">
        <v>45891</v>
      </c>
      <c r="E2" s="2">
        <v>0.83333333333333337</v>
      </c>
      <c r="F2">
        <v>311669</v>
      </c>
      <c r="G2">
        <v>448153</v>
      </c>
      <c r="H2">
        <v>17970</v>
      </c>
      <c r="I2">
        <v>16319</v>
      </c>
      <c r="J2">
        <v>33</v>
      </c>
      <c r="K2">
        <v>7814</v>
      </c>
      <c r="L2">
        <v>1030</v>
      </c>
      <c r="M2">
        <v>13</v>
      </c>
      <c r="N2" t="s">
        <v>12</v>
      </c>
      <c r="O2">
        <v>20</v>
      </c>
      <c r="P2" t="s">
        <v>82</v>
      </c>
      <c r="Q2">
        <f>(Table2[[#This Row],[Likes]]+Table2[[#This Row],[Comments]]+Table2[[#This Row],[Shares]]+Table2[[#This Row],[Saves]])/Table2[[#This Row],[Reach]]</f>
        <v>0.13519470977222631</v>
      </c>
      <c r="R2">
        <f>Table2[[#This Row],[Average Play time]]/Table2[[#This Row],[Duration (sec)]]</f>
        <v>0.4642857142857143</v>
      </c>
    </row>
    <row r="3" spans="1:18" x14ac:dyDescent="0.35">
      <c r="A3">
        <v>2</v>
      </c>
      <c r="B3" s="1" t="s">
        <v>92</v>
      </c>
      <c r="C3">
        <v>11</v>
      </c>
      <c r="D3" s="4">
        <v>45891</v>
      </c>
      <c r="E3" s="2">
        <v>0.20833333333333334</v>
      </c>
      <c r="F3">
        <v>1180103</v>
      </c>
      <c r="G3">
        <v>1793506</v>
      </c>
      <c r="H3">
        <v>119034</v>
      </c>
      <c r="I3">
        <v>24850</v>
      </c>
      <c r="J3">
        <v>189</v>
      </c>
      <c r="K3">
        <v>5580</v>
      </c>
      <c r="L3">
        <v>689</v>
      </c>
      <c r="M3">
        <v>8</v>
      </c>
      <c r="N3" t="s">
        <v>13</v>
      </c>
      <c r="O3">
        <v>5</v>
      </c>
      <c r="P3" t="s">
        <v>82</v>
      </c>
      <c r="Q3">
        <f>(Table2[[#This Row],[Likes]]+Table2[[#This Row],[Comments]]+Table2[[#This Row],[Shares]]+Table2[[#This Row],[Saves]])/Table2[[#This Row],[Reach]]</f>
        <v>0.12681350695659616</v>
      </c>
      <c r="R3">
        <f>Table2[[#This Row],[Average Play time]]/Table2[[#This Row],[Duration (sec)]]</f>
        <v>0.72727272727272729</v>
      </c>
    </row>
    <row r="4" spans="1:18" x14ac:dyDescent="0.35">
      <c r="A4">
        <v>3</v>
      </c>
      <c r="B4" s="1" t="s">
        <v>93</v>
      </c>
      <c r="C4">
        <v>28</v>
      </c>
      <c r="D4" s="4">
        <v>45890</v>
      </c>
      <c r="E4" s="2">
        <v>0.83680555555555558</v>
      </c>
      <c r="F4">
        <v>22187</v>
      </c>
      <c r="G4">
        <v>34991</v>
      </c>
      <c r="H4">
        <v>1318</v>
      </c>
      <c r="I4">
        <v>181</v>
      </c>
      <c r="J4">
        <v>2</v>
      </c>
      <c r="K4">
        <v>73</v>
      </c>
      <c r="L4">
        <v>47</v>
      </c>
      <c r="M4">
        <v>10</v>
      </c>
      <c r="N4" t="s">
        <v>15</v>
      </c>
      <c r="O4">
        <v>20</v>
      </c>
      <c r="P4" t="s">
        <v>83</v>
      </c>
      <c r="Q4">
        <f>(Table2[[#This Row],[Likes]]+Table2[[#This Row],[Comments]]+Table2[[#This Row],[Shares]]+Table2[[#This Row],[Saves]])/Table2[[#This Row],[Reach]]</f>
        <v>7.0942443773380812E-2</v>
      </c>
      <c r="R4">
        <f>Table2[[#This Row],[Average Play time]]/Table2[[#This Row],[Duration (sec)]]</f>
        <v>0.35714285714285715</v>
      </c>
    </row>
    <row r="5" spans="1:18" x14ac:dyDescent="0.35">
      <c r="A5">
        <v>4</v>
      </c>
      <c r="B5" s="1" t="s">
        <v>93</v>
      </c>
      <c r="C5">
        <v>45</v>
      </c>
      <c r="D5" s="4">
        <v>45889</v>
      </c>
      <c r="E5" s="2">
        <v>0.92291666666666672</v>
      </c>
      <c r="F5">
        <v>21860</v>
      </c>
      <c r="G5">
        <v>35131</v>
      </c>
      <c r="H5">
        <v>1072</v>
      </c>
      <c r="I5">
        <v>773</v>
      </c>
      <c r="J5">
        <v>12</v>
      </c>
      <c r="K5">
        <v>257</v>
      </c>
      <c r="L5">
        <v>50</v>
      </c>
      <c r="M5">
        <v>13</v>
      </c>
      <c r="N5" t="s">
        <v>14</v>
      </c>
      <c r="O5">
        <v>22</v>
      </c>
      <c r="P5" t="s">
        <v>84</v>
      </c>
      <c r="Q5">
        <f>(Table2[[#This Row],[Likes]]+Table2[[#This Row],[Comments]]+Table2[[#This Row],[Shares]]+Table2[[#This Row],[Saves]])/Table2[[#This Row],[Reach]]</f>
        <v>9.6706312900274469E-2</v>
      </c>
      <c r="R5">
        <f>Table2[[#This Row],[Average Play time]]/Table2[[#This Row],[Duration (sec)]]</f>
        <v>0.28888888888888886</v>
      </c>
    </row>
    <row r="6" spans="1:18" x14ac:dyDescent="0.35">
      <c r="A6">
        <v>5</v>
      </c>
      <c r="B6" s="1" t="s">
        <v>93</v>
      </c>
      <c r="C6">
        <v>55</v>
      </c>
      <c r="D6" s="4">
        <v>45888</v>
      </c>
      <c r="E6" s="2">
        <v>0.15625</v>
      </c>
      <c r="F6">
        <v>21682</v>
      </c>
      <c r="G6">
        <v>35934</v>
      </c>
      <c r="H6">
        <v>1408</v>
      </c>
      <c r="I6">
        <v>121</v>
      </c>
      <c r="J6">
        <v>7</v>
      </c>
      <c r="K6">
        <v>77</v>
      </c>
      <c r="L6">
        <v>55</v>
      </c>
      <c r="M6">
        <v>15</v>
      </c>
      <c r="N6" t="s">
        <v>16</v>
      </c>
      <c r="O6">
        <v>3</v>
      </c>
      <c r="P6" t="s">
        <v>85</v>
      </c>
      <c r="Q6">
        <f>(Table2[[#This Row],[Likes]]+Table2[[#This Row],[Comments]]+Table2[[#This Row],[Shares]]+Table2[[#This Row],[Saves]])/Table2[[#This Row],[Reach]]</f>
        <v>7.4393506134120463E-2</v>
      </c>
      <c r="R6">
        <f>Table2[[#This Row],[Average Play time]]/Table2[[#This Row],[Duration (sec)]]</f>
        <v>0.27272727272727271</v>
      </c>
    </row>
    <row r="7" spans="1:18" x14ac:dyDescent="0.35">
      <c r="A7">
        <v>6</v>
      </c>
      <c r="B7" s="1" t="s">
        <v>93</v>
      </c>
      <c r="C7">
        <v>12</v>
      </c>
      <c r="D7" s="4">
        <v>45887</v>
      </c>
      <c r="E7" s="2">
        <v>0.85555555555555551</v>
      </c>
      <c r="F7">
        <v>19169</v>
      </c>
      <c r="G7">
        <v>31053</v>
      </c>
      <c r="H7">
        <v>1151</v>
      </c>
      <c r="I7">
        <v>105</v>
      </c>
      <c r="J7">
        <v>7</v>
      </c>
      <c r="K7">
        <v>180</v>
      </c>
      <c r="L7">
        <v>21</v>
      </c>
      <c r="M7">
        <v>5</v>
      </c>
      <c r="N7" t="s">
        <v>17</v>
      </c>
      <c r="O7">
        <v>20</v>
      </c>
      <c r="P7" t="s">
        <v>86</v>
      </c>
      <c r="Q7">
        <f>(Table2[[#This Row],[Likes]]+Table2[[#This Row],[Comments]]+Table2[[#This Row],[Shares]]+Table2[[#This Row],[Saves]])/Table2[[#This Row],[Reach]]</f>
        <v>7.5277792268767282E-2</v>
      </c>
      <c r="R7">
        <f>Table2[[#This Row],[Average Play time]]/Table2[[#This Row],[Duration (sec)]]</f>
        <v>0.41666666666666669</v>
      </c>
    </row>
    <row r="8" spans="1:18" x14ac:dyDescent="0.35">
      <c r="A8">
        <v>7</v>
      </c>
      <c r="B8" s="1" t="s">
        <v>93</v>
      </c>
      <c r="C8">
        <v>56</v>
      </c>
      <c r="D8" s="4">
        <v>45886</v>
      </c>
      <c r="E8" s="2">
        <v>0.21805555555555556</v>
      </c>
      <c r="F8">
        <v>20588</v>
      </c>
      <c r="G8">
        <v>33899</v>
      </c>
      <c r="H8">
        <v>1398</v>
      </c>
      <c r="I8">
        <v>185</v>
      </c>
      <c r="J8">
        <v>3</v>
      </c>
      <c r="K8">
        <v>139</v>
      </c>
      <c r="L8">
        <v>59</v>
      </c>
      <c r="M8">
        <v>13</v>
      </c>
      <c r="N8" t="s">
        <v>18</v>
      </c>
      <c r="O8">
        <v>5</v>
      </c>
      <c r="P8" t="s">
        <v>87</v>
      </c>
      <c r="Q8">
        <f>(Table2[[#This Row],[Likes]]+Table2[[#This Row],[Comments]]+Table2[[#This Row],[Shares]]+Table2[[#This Row],[Saves]])/Table2[[#This Row],[Reach]]</f>
        <v>8.3786671847678254E-2</v>
      </c>
      <c r="R8">
        <f>Table2[[#This Row],[Average Play time]]/Table2[[#This Row],[Duration (sec)]]</f>
        <v>0.23214285714285715</v>
      </c>
    </row>
    <row r="9" spans="1:18" x14ac:dyDescent="0.35">
      <c r="A9">
        <v>8</v>
      </c>
      <c r="B9" s="1" t="s">
        <v>93</v>
      </c>
      <c r="C9">
        <v>56</v>
      </c>
      <c r="D9" s="4">
        <v>45886</v>
      </c>
      <c r="E9" s="2">
        <v>0.20694444444444443</v>
      </c>
      <c r="F9">
        <v>237324</v>
      </c>
      <c r="G9">
        <v>354890</v>
      </c>
      <c r="H9">
        <v>32551</v>
      </c>
      <c r="I9">
        <v>6347</v>
      </c>
      <c r="J9">
        <v>26</v>
      </c>
      <c r="K9">
        <v>2936</v>
      </c>
      <c r="L9">
        <v>2196</v>
      </c>
      <c r="M9">
        <v>28</v>
      </c>
      <c r="N9" t="s">
        <v>19</v>
      </c>
      <c r="O9">
        <v>4</v>
      </c>
      <c r="P9" t="s">
        <v>87</v>
      </c>
      <c r="Q9">
        <f>(Table2[[#This Row],[Likes]]+Table2[[#This Row],[Comments]]+Table2[[#This Row],[Shares]]+Table2[[#This Row],[Saves]])/Table2[[#This Row],[Reach]]</f>
        <v>0.17638334091790125</v>
      </c>
      <c r="R9">
        <f>Table2[[#This Row],[Average Play time]]/Table2[[#This Row],[Duration (sec)]]</f>
        <v>0.5</v>
      </c>
    </row>
    <row r="10" spans="1:18" x14ac:dyDescent="0.35">
      <c r="A10">
        <v>9</v>
      </c>
      <c r="B10" s="1" t="s">
        <v>93</v>
      </c>
      <c r="C10">
        <v>47</v>
      </c>
      <c r="D10" s="4">
        <v>45883</v>
      </c>
      <c r="E10" s="2">
        <v>0.83333333333333337</v>
      </c>
      <c r="F10">
        <v>373976</v>
      </c>
      <c r="G10">
        <v>510240</v>
      </c>
      <c r="H10">
        <v>21375</v>
      </c>
      <c r="I10">
        <v>11130</v>
      </c>
      <c r="J10">
        <v>30</v>
      </c>
      <c r="K10">
        <v>7884</v>
      </c>
      <c r="L10">
        <v>1529</v>
      </c>
      <c r="M10">
        <v>19</v>
      </c>
      <c r="N10" t="s">
        <v>20</v>
      </c>
      <c r="O10">
        <v>20</v>
      </c>
      <c r="P10" t="s">
        <v>83</v>
      </c>
      <c r="Q10">
        <f>(Table2[[#This Row],[Likes]]+Table2[[#This Row],[Comments]]+Table2[[#This Row],[Shares]]+Table2[[#This Row],[Saves]])/Table2[[#This Row],[Reach]]</f>
        <v>0.10807912807238967</v>
      </c>
      <c r="R10">
        <f>Table2[[#This Row],[Average Play time]]/Table2[[#This Row],[Duration (sec)]]</f>
        <v>0.40425531914893614</v>
      </c>
    </row>
    <row r="11" spans="1:18" x14ac:dyDescent="0.35">
      <c r="A11">
        <v>10</v>
      </c>
      <c r="B11" s="1" t="s">
        <v>93</v>
      </c>
      <c r="C11">
        <v>52</v>
      </c>
      <c r="D11" s="4">
        <v>45882</v>
      </c>
      <c r="E11" s="2">
        <v>0.96736111111111112</v>
      </c>
      <c r="F11">
        <v>16550</v>
      </c>
      <c r="G11">
        <v>23870</v>
      </c>
      <c r="H11">
        <v>1345</v>
      </c>
      <c r="I11">
        <v>140</v>
      </c>
      <c r="J11">
        <v>3</v>
      </c>
      <c r="K11">
        <v>117</v>
      </c>
      <c r="L11">
        <v>18</v>
      </c>
      <c r="M11">
        <v>7</v>
      </c>
      <c r="N11" t="s">
        <v>21</v>
      </c>
      <c r="O11">
        <v>23</v>
      </c>
      <c r="P11" t="s">
        <v>84</v>
      </c>
      <c r="Q11">
        <f>(Table2[[#This Row],[Likes]]+Table2[[#This Row],[Comments]]+Table2[[#This Row],[Shares]]+Table2[[#This Row],[Saves]])/Table2[[#This Row],[Reach]]</f>
        <v>9.6978851963746227E-2</v>
      </c>
      <c r="R11">
        <f>Table2[[#This Row],[Average Play time]]/Table2[[#This Row],[Duration (sec)]]</f>
        <v>0.13461538461538461</v>
      </c>
    </row>
    <row r="12" spans="1:18" x14ac:dyDescent="0.35">
      <c r="A12">
        <v>11</v>
      </c>
      <c r="B12" s="1" t="s">
        <v>93</v>
      </c>
      <c r="C12">
        <v>68</v>
      </c>
      <c r="D12" s="4">
        <v>45882</v>
      </c>
      <c r="E12" s="2">
        <v>3.1944444444444442E-2</v>
      </c>
      <c r="F12">
        <v>13945</v>
      </c>
      <c r="G12">
        <v>22155</v>
      </c>
      <c r="H12">
        <v>945</v>
      </c>
      <c r="I12">
        <v>42</v>
      </c>
      <c r="J12">
        <v>0</v>
      </c>
      <c r="K12">
        <v>81</v>
      </c>
      <c r="L12">
        <v>21</v>
      </c>
      <c r="M12">
        <v>15</v>
      </c>
      <c r="N12" t="s">
        <v>22</v>
      </c>
      <c r="O12">
        <v>0</v>
      </c>
      <c r="P12" t="s">
        <v>84</v>
      </c>
      <c r="Q12">
        <f>(Table2[[#This Row],[Likes]]+Table2[[#This Row],[Comments]]+Table2[[#This Row],[Shares]]+Table2[[#This Row],[Saves]])/Table2[[#This Row],[Reach]]</f>
        <v>7.6586590175690208E-2</v>
      </c>
      <c r="R12">
        <f>Table2[[#This Row],[Average Play time]]/Table2[[#This Row],[Duration (sec)]]</f>
        <v>0.22058823529411764</v>
      </c>
    </row>
    <row r="13" spans="1:18" x14ac:dyDescent="0.35">
      <c r="A13">
        <v>12</v>
      </c>
      <c r="B13" s="1" t="s">
        <v>93</v>
      </c>
      <c r="C13">
        <v>42</v>
      </c>
      <c r="D13" s="4">
        <v>45881</v>
      </c>
      <c r="E13" s="3">
        <v>0.17291666666666666</v>
      </c>
      <c r="F13">
        <v>13570</v>
      </c>
      <c r="G13">
        <v>23409</v>
      </c>
      <c r="H13">
        <v>632</v>
      </c>
      <c r="I13">
        <v>48</v>
      </c>
      <c r="J13">
        <v>9</v>
      </c>
      <c r="K13">
        <v>46</v>
      </c>
      <c r="L13">
        <v>19</v>
      </c>
      <c r="M13">
        <v>10</v>
      </c>
      <c r="N13" t="s">
        <v>23</v>
      </c>
      <c r="O13">
        <v>4</v>
      </c>
      <c r="P13" t="s">
        <v>85</v>
      </c>
      <c r="Q13">
        <f>(Table2[[#This Row],[Likes]]+Table2[[#This Row],[Comments]]+Table2[[#This Row],[Shares]]+Table2[[#This Row],[Saves]])/Table2[[#This Row],[Reach]]</f>
        <v>5.4163596168017684E-2</v>
      </c>
      <c r="R13">
        <f>Table2[[#This Row],[Average Play time]]/Table2[[#This Row],[Duration (sec)]]</f>
        <v>0.23809523809523808</v>
      </c>
    </row>
    <row r="14" spans="1:18" x14ac:dyDescent="0.35">
      <c r="A14">
        <v>13</v>
      </c>
      <c r="B14" s="1" t="s">
        <v>93</v>
      </c>
      <c r="C14">
        <v>36</v>
      </c>
      <c r="D14" s="4">
        <v>45879</v>
      </c>
      <c r="E14" s="3">
        <v>0.83472222222222225</v>
      </c>
      <c r="F14">
        <v>29398</v>
      </c>
      <c r="G14">
        <v>50435</v>
      </c>
      <c r="H14">
        <v>3052</v>
      </c>
      <c r="I14">
        <v>484</v>
      </c>
      <c r="J14">
        <v>10</v>
      </c>
      <c r="K14">
        <v>272</v>
      </c>
      <c r="L14">
        <v>10</v>
      </c>
      <c r="M14">
        <v>9</v>
      </c>
      <c r="N14" t="s">
        <v>24</v>
      </c>
      <c r="O14">
        <v>20</v>
      </c>
      <c r="P14" t="s">
        <v>87</v>
      </c>
      <c r="Q14">
        <f>(Table2[[#This Row],[Likes]]+Table2[[#This Row],[Comments]]+Table2[[#This Row],[Shares]]+Table2[[#This Row],[Saves]])/Table2[[#This Row],[Reach]]</f>
        <v>0.12987278046125586</v>
      </c>
      <c r="R14">
        <f>Table2[[#This Row],[Average Play time]]/Table2[[#This Row],[Duration (sec)]]</f>
        <v>0.25</v>
      </c>
    </row>
    <row r="15" spans="1:18" x14ac:dyDescent="0.35">
      <c r="A15">
        <v>14</v>
      </c>
      <c r="B15" s="1" t="s">
        <v>93</v>
      </c>
      <c r="C15">
        <v>95</v>
      </c>
      <c r="D15" s="4">
        <v>45875</v>
      </c>
      <c r="E15" s="3">
        <v>0.16111111111111112</v>
      </c>
      <c r="F15">
        <v>14509</v>
      </c>
      <c r="G15">
        <v>24909</v>
      </c>
      <c r="H15">
        <v>948</v>
      </c>
      <c r="I15">
        <v>146</v>
      </c>
      <c r="J15">
        <v>16</v>
      </c>
      <c r="K15">
        <v>91</v>
      </c>
      <c r="L15">
        <v>37</v>
      </c>
      <c r="M15">
        <v>13</v>
      </c>
      <c r="N15" t="s">
        <v>25</v>
      </c>
      <c r="O15">
        <v>3</v>
      </c>
      <c r="P15" t="s">
        <v>84</v>
      </c>
      <c r="Q15">
        <f>(Table2[[#This Row],[Likes]]+Table2[[#This Row],[Comments]]+Table2[[#This Row],[Shares]]+Table2[[#This Row],[Saves]])/Table2[[#This Row],[Reach]]</f>
        <v>8.2776207870976629E-2</v>
      </c>
      <c r="R15">
        <f>Table2[[#This Row],[Average Play time]]/Table2[[#This Row],[Duration (sec)]]</f>
        <v>0.1368421052631579</v>
      </c>
    </row>
    <row r="16" spans="1:18" x14ac:dyDescent="0.35">
      <c r="A16">
        <v>15</v>
      </c>
      <c r="B16" s="1" t="s">
        <v>93</v>
      </c>
      <c r="C16">
        <v>178</v>
      </c>
      <c r="D16" s="4">
        <v>45872</v>
      </c>
      <c r="E16" s="3">
        <v>0.91249999999999998</v>
      </c>
      <c r="F16">
        <v>112474</v>
      </c>
      <c r="G16">
        <v>158071</v>
      </c>
      <c r="H16">
        <v>11053</v>
      </c>
      <c r="I16">
        <v>4679</v>
      </c>
      <c r="J16">
        <v>46</v>
      </c>
      <c r="K16">
        <v>1708</v>
      </c>
      <c r="L16">
        <v>836</v>
      </c>
      <c r="M16">
        <v>43</v>
      </c>
      <c r="N16" t="s">
        <v>26</v>
      </c>
      <c r="O16">
        <v>21</v>
      </c>
      <c r="P16" t="s">
        <v>87</v>
      </c>
      <c r="Q16">
        <f>(Table2[[#This Row],[Likes]]+Table2[[#This Row],[Comments]]+Table2[[#This Row],[Shares]]+Table2[[#This Row],[Saves]])/Table2[[#This Row],[Reach]]</f>
        <v>0.15546704127176059</v>
      </c>
      <c r="R16">
        <f>Table2[[#This Row],[Average Play time]]/Table2[[#This Row],[Duration (sec)]]</f>
        <v>0.24157303370786518</v>
      </c>
    </row>
    <row r="17" spans="1:18" x14ac:dyDescent="0.35">
      <c r="A17">
        <v>16</v>
      </c>
      <c r="B17" s="1" t="s">
        <v>92</v>
      </c>
      <c r="C17">
        <v>97</v>
      </c>
      <c r="D17" s="4">
        <v>45861</v>
      </c>
      <c r="E17" s="2">
        <v>0.89166666666666672</v>
      </c>
      <c r="F17">
        <v>15504</v>
      </c>
      <c r="G17">
        <v>25645</v>
      </c>
      <c r="H17">
        <v>1056</v>
      </c>
      <c r="I17">
        <v>87</v>
      </c>
      <c r="J17">
        <v>13</v>
      </c>
      <c r="K17">
        <v>104</v>
      </c>
      <c r="L17">
        <v>26</v>
      </c>
      <c r="M17">
        <v>11</v>
      </c>
      <c r="N17" t="s">
        <v>27</v>
      </c>
      <c r="O17">
        <v>21</v>
      </c>
      <c r="P17" t="s">
        <v>84</v>
      </c>
      <c r="Q17">
        <f>(Table2[[#This Row],[Likes]]+Table2[[#This Row],[Comments]]+Table2[[#This Row],[Shares]]+Table2[[#This Row],[Saves]])/Table2[[#This Row],[Reach]]</f>
        <v>8.1269349845201233E-2</v>
      </c>
      <c r="R17">
        <f>Table2[[#This Row],[Average Play time]]/Table2[[#This Row],[Duration (sec)]]</f>
        <v>0.1134020618556701</v>
      </c>
    </row>
    <row r="18" spans="1:18" x14ac:dyDescent="0.35">
      <c r="A18">
        <v>17</v>
      </c>
      <c r="B18" s="1" t="s">
        <v>92</v>
      </c>
      <c r="C18">
        <v>116</v>
      </c>
      <c r="D18" s="4">
        <v>45841</v>
      </c>
      <c r="E18" s="3">
        <v>0.98333333333333328</v>
      </c>
      <c r="F18">
        <v>14491</v>
      </c>
      <c r="G18">
        <v>23705</v>
      </c>
      <c r="H18">
        <v>866</v>
      </c>
      <c r="I18">
        <v>125</v>
      </c>
      <c r="J18">
        <v>6</v>
      </c>
      <c r="K18">
        <v>125</v>
      </c>
      <c r="L18">
        <v>28</v>
      </c>
      <c r="M18">
        <v>9</v>
      </c>
      <c r="N18" t="s">
        <v>23</v>
      </c>
      <c r="O18">
        <v>23</v>
      </c>
      <c r="P18" t="s">
        <v>83</v>
      </c>
      <c r="Q18">
        <f>(Table2[[#This Row],[Likes]]+Table2[[#This Row],[Comments]]+Table2[[#This Row],[Shares]]+Table2[[#This Row],[Saves]])/Table2[[#This Row],[Reach]]</f>
        <v>7.7427368711614111E-2</v>
      </c>
      <c r="R18">
        <f>Table2[[#This Row],[Average Play time]]/Table2[[#This Row],[Duration (sec)]]</f>
        <v>7.7586206896551727E-2</v>
      </c>
    </row>
    <row r="19" spans="1:18" x14ac:dyDescent="0.35">
      <c r="A19">
        <v>18</v>
      </c>
      <c r="B19" s="1" t="s">
        <v>92</v>
      </c>
      <c r="C19">
        <v>32</v>
      </c>
      <c r="D19" s="4">
        <v>45838</v>
      </c>
      <c r="E19" s="2">
        <v>0.9291666666666667</v>
      </c>
      <c r="F19">
        <v>20718</v>
      </c>
      <c r="G19">
        <v>37833</v>
      </c>
      <c r="H19">
        <v>1739</v>
      </c>
      <c r="I19">
        <v>325</v>
      </c>
      <c r="J19">
        <v>8</v>
      </c>
      <c r="K19">
        <v>226</v>
      </c>
      <c r="L19">
        <v>46</v>
      </c>
      <c r="M19">
        <v>9</v>
      </c>
      <c r="N19" t="s">
        <v>15</v>
      </c>
      <c r="O19">
        <v>22</v>
      </c>
      <c r="P19" t="s">
        <v>86</v>
      </c>
      <c r="Q19">
        <f>(Table2[[#This Row],[Likes]]+Table2[[#This Row],[Comments]]+Table2[[#This Row],[Shares]]+Table2[[#This Row],[Saves]])/Table2[[#This Row],[Reach]]</f>
        <v>0.11091804228207355</v>
      </c>
      <c r="R19">
        <f>Table2[[#This Row],[Average Play time]]/Table2[[#This Row],[Duration (sec)]]</f>
        <v>0.28125</v>
      </c>
    </row>
    <row r="20" spans="1:18" x14ac:dyDescent="0.35">
      <c r="A20">
        <v>19</v>
      </c>
      <c r="B20" s="1" t="s">
        <v>92</v>
      </c>
      <c r="C20">
        <v>66</v>
      </c>
      <c r="D20" s="4">
        <v>45838</v>
      </c>
      <c r="E20" s="2">
        <v>0.18124999999999999</v>
      </c>
      <c r="F20">
        <v>26008</v>
      </c>
      <c r="G20">
        <v>43763</v>
      </c>
      <c r="H20">
        <v>2293</v>
      </c>
      <c r="I20">
        <v>485</v>
      </c>
      <c r="J20">
        <v>42</v>
      </c>
      <c r="K20">
        <v>379</v>
      </c>
      <c r="L20">
        <v>96</v>
      </c>
      <c r="M20">
        <v>11</v>
      </c>
      <c r="N20" t="s">
        <v>28</v>
      </c>
      <c r="O20">
        <v>4</v>
      </c>
      <c r="P20" t="s">
        <v>86</v>
      </c>
      <c r="Q20">
        <f>(Table2[[#This Row],[Likes]]+Table2[[#This Row],[Comments]]+Table2[[#This Row],[Shares]]+Table2[[#This Row],[Saves]])/Table2[[#This Row],[Reach]]</f>
        <v>0.12300061519532451</v>
      </c>
      <c r="R20">
        <f>Table2[[#This Row],[Average Play time]]/Table2[[#This Row],[Duration (sec)]]</f>
        <v>0.16666666666666666</v>
      </c>
    </row>
    <row r="21" spans="1:18" x14ac:dyDescent="0.35">
      <c r="A21">
        <v>20</v>
      </c>
      <c r="B21" s="1" t="s">
        <v>92</v>
      </c>
      <c r="C21">
        <v>58</v>
      </c>
      <c r="D21" s="4">
        <v>45836</v>
      </c>
      <c r="E21" s="2">
        <v>0.88263888888888886</v>
      </c>
      <c r="F21">
        <v>16809</v>
      </c>
      <c r="G21">
        <v>28547</v>
      </c>
      <c r="H21">
        <v>723</v>
      </c>
      <c r="I21">
        <v>110</v>
      </c>
      <c r="J21">
        <v>15</v>
      </c>
      <c r="K21">
        <v>128</v>
      </c>
      <c r="L21">
        <v>18</v>
      </c>
      <c r="M21">
        <v>9</v>
      </c>
      <c r="N21" t="s">
        <v>29</v>
      </c>
      <c r="O21">
        <v>21</v>
      </c>
      <c r="P21" t="s">
        <v>88</v>
      </c>
      <c r="Q21">
        <f>(Table2[[#This Row],[Likes]]+Table2[[#This Row],[Comments]]+Table2[[#This Row],[Shares]]+Table2[[#This Row],[Saves]])/Table2[[#This Row],[Reach]]</f>
        <v>5.8064132310071986E-2</v>
      </c>
      <c r="R21">
        <f>Table2[[#This Row],[Average Play time]]/Table2[[#This Row],[Duration (sec)]]</f>
        <v>0.15517241379310345</v>
      </c>
    </row>
    <row r="22" spans="1:18" x14ac:dyDescent="0.35">
      <c r="A22">
        <v>21</v>
      </c>
      <c r="B22" s="5" t="s">
        <v>93</v>
      </c>
      <c r="C22">
        <v>58</v>
      </c>
      <c r="D22" s="4">
        <v>45835</v>
      </c>
      <c r="E22" s="2">
        <v>0.90625</v>
      </c>
      <c r="F22">
        <v>15072</v>
      </c>
      <c r="G22">
        <v>26290</v>
      </c>
      <c r="H22">
        <v>884</v>
      </c>
      <c r="I22">
        <v>156</v>
      </c>
      <c r="J22">
        <v>14</v>
      </c>
      <c r="K22">
        <v>97</v>
      </c>
      <c r="L22">
        <v>21</v>
      </c>
      <c r="M22">
        <v>10</v>
      </c>
      <c r="N22" t="s">
        <v>27</v>
      </c>
      <c r="O22">
        <v>21</v>
      </c>
      <c r="P22" t="s">
        <v>82</v>
      </c>
      <c r="Q22">
        <f>(Table2[[#This Row],[Likes]]+Table2[[#This Row],[Comments]]+Table2[[#This Row],[Shares]]+Table2[[#This Row],[Saves]])/Table2[[#This Row],[Reach]]</f>
        <v>7.6366772823779197E-2</v>
      </c>
      <c r="R22">
        <f>Table2[[#This Row],[Average Play time]]/Table2[[#This Row],[Duration (sec)]]</f>
        <v>0.17241379310344829</v>
      </c>
    </row>
    <row r="23" spans="1:18" x14ac:dyDescent="0.35">
      <c r="A23">
        <v>22</v>
      </c>
      <c r="B23" s="5" t="s">
        <v>93</v>
      </c>
      <c r="C23">
        <v>52</v>
      </c>
      <c r="D23" s="4">
        <v>45835</v>
      </c>
      <c r="E23" s="2">
        <v>0.19930555555555557</v>
      </c>
      <c r="F23">
        <v>192101</v>
      </c>
      <c r="G23">
        <v>254955</v>
      </c>
      <c r="H23">
        <v>11604</v>
      </c>
      <c r="I23">
        <v>7008</v>
      </c>
      <c r="J23">
        <v>48</v>
      </c>
      <c r="K23">
        <v>3476</v>
      </c>
      <c r="L23">
        <v>1152</v>
      </c>
      <c r="M23">
        <v>21</v>
      </c>
      <c r="N23" t="s">
        <v>30</v>
      </c>
      <c r="O23">
        <v>4</v>
      </c>
      <c r="P23" t="s">
        <v>82</v>
      </c>
      <c r="Q23">
        <f>(Table2[[#This Row],[Likes]]+Table2[[#This Row],[Comments]]+Table2[[#This Row],[Shares]]+Table2[[#This Row],[Saves]])/Table2[[#This Row],[Reach]]</f>
        <v>0.11523105033289779</v>
      </c>
      <c r="R23">
        <f>Table2[[#This Row],[Average Play time]]/Table2[[#This Row],[Duration (sec)]]</f>
        <v>0.40384615384615385</v>
      </c>
    </row>
    <row r="24" spans="1:18" x14ac:dyDescent="0.35">
      <c r="A24">
        <v>23</v>
      </c>
      <c r="B24" s="5" t="s">
        <v>93</v>
      </c>
      <c r="C24">
        <v>51</v>
      </c>
      <c r="D24" s="4">
        <v>45834</v>
      </c>
      <c r="E24" s="2">
        <v>0.86250000000000004</v>
      </c>
      <c r="F24">
        <v>17687</v>
      </c>
      <c r="G24">
        <v>29809</v>
      </c>
      <c r="H24">
        <v>1460</v>
      </c>
      <c r="I24">
        <v>241</v>
      </c>
      <c r="J24">
        <v>11</v>
      </c>
      <c r="K24">
        <v>125</v>
      </c>
      <c r="L24">
        <v>20</v>
      </c>
      <c r="M24">
        <v>9</v>
      </c>
      <c r="N24" t="s">
        <v>31</v>
      </c>
      <c r="O24">
        <v>20</v>
      </c>
      <c r="P24" t="s">
        <v>83</v>
      </c>
      <c r="Q24">
        <f>(Table2[[#This Row],[Likes]]+Table2[[#This Row],[Comments]]+Table2[[#This Row],[Shares]]+Table2[[#This Row],[Saves]])/Table2[[#This Row],[Reach]]</f>
        <v>0.10386159326058687</v>
      </c>
      <c r="R24">
        <f>Table2[[#This Row],[Average Play time]]/Table2[[#This Row],[Duration (sec)]]</f>
        <v>0.17647058823529413</v>
      </c>
    </row>
    <row r="25" spans="1:18" x14ac:dyDescent="0.35">
      <c r="A25">
        <v>24</v>
      </c>
      <c r="B25" s="5" t="s">
        <v>93</v>
      </c>
      <c r="C25">
        <v>51</v>
      </c>
      <c r="D25" s="4">
        <v>45832</v>
      </c>
      <c r="E25" s="2">
        <v>0.81527777777777777</v>
      </c>
      <c r="F25">
        <v>25923</v>
      </c>
      <c r="G25">
        <v>46088</v>
      </c>
      <c r="H25">
        <v>971</v>
      </c>
      <c r="I25">
        <v>166</v>
      </c>
      <c r="J25">
        <v>9</v>
      </c>
      <c r="K25">
        <v>79</v>
      </c>
      <c r="L25">
        <v>30</v>
      </c>
      <c r="M25">
        <v>12</v>
      </c>
      <c r="N25" t="s">
        <v>32</v>
      </c>
      <c r="O25">
        <v>19</v>
      </c>
      <c r="P25" t="s">
        <v>85</v>
      </c>
      <c r="Q25">
        <f>(Table2[[#This Row],[Likes]]+Table2[[#This Row],[Comments]]+Table2[[#This Row],[Shares]]+Table2[[#This Row],[Saves]])/Table2[[#This Row],[Reach]]</f>
        <v>4.7255333101878641E-2</v>
      </c>
      <c r="R25">
        <f>Table2[[#This Row],[Average Play time]]/Table2[[#This Row],[Duration (sec)]]</f>
        <v>0.23529411764705882</v>
      </c>
    </row>
    <row r="26" spans="1:18" x14ac:dyDescent="0.35">
      <c r="A26">
        <v>25</v>
      </c>
      <c r="B26" s="5" t="s">
        <v>93</v>
      </c>
      <c r="C26">
        <v>40</v>
      </c>
      <c r="D26" s="4">
        <v>45822</v>
      </c>
      <c r="E26" s="2">
        <v>0.82499999999999996</v>
      </c>
      <c r="F26">
        <v>183533</v>
      </c>
      <c r="G26">
        <v>265109</v>
      </c>
      <c r="H26">
        <v>21075</v>
      </c>
      <c r="I26">
        <v>10071</v>
      </c>
      <c r="J26">
        <v>69</v>
      </c>
      <c r="K26">
        <v>2583</v>
      </c>
      <c r="L26">
        <v>424</v>
      </c>
      <c r="M26">
        <v>17</v>
      </c>
      <c r="N26" t="s">
        <v>33</v>
      </c>
      <c r="O26">
        <v>19</v>
      </c>
      <c r="P26" t="s">
        <v>88</v>
      </c>
      <c r="Q26">
        <f>(Table2[[#This Row],[Likes]]+Table2[[#This Row],[Comments]]+Table2[[#This Row],[Shares]]+Table2[[#This Row],[Saves]])/Table2[[#This Row],[Reach]]</f>
        <v>0.18415216881977628</v>
      </c>
      <c r="R26">
        <f>Table2[[#This Row],[Average Play time]]/Table2[[#This Row],[Duration (sec)]]</f>
        <v>0.42499999999999999</v>
      </c>
    </row>
    <row r="27" spans="1:18" x14ac:dyDescent="0.35">
      <c r="A27">
        <v>26</v>
      </c>
      <c r="B27" s="5" t="s">
        <v>93</v>
      </c>
      <c r="C27">
        <v>28</v>
      </c>
      <c r="D27" s="4">
        <v>45821</v>
      </c>
      <c r="E27" s="2">
        <v>0.88958333333333328</v>
      </c>
      <c r="F27">
        <v>39046</v>
      </c>
      <c r="G27">
        <v>61964</v>
      </c>
      <c r="H27">
        <v>3210</v>
      </c>
      <c r="I27">
        <v>1320</v>
      </c>
      <c r="J27">
        <v>13</v>
      </c>
      <c r="K27">
        <v>295</v>
      </c>
      <c r="L27">
        <v>67</v>
      </c>
      <c r="M27">
        <v>9</v>
      </c>
      <c r="N27" t="s">
        <v>34</v>
      </c>
      <c r="O27">
        <v>21</v>
      </c>
      <c r="P27" t="s">
        <v>82</v>
      </c>
      <c r="Q27">
        <f>(Table2[[#This Row],[Likes]]+Table2[[#This Row],[Comments]]+Table2[[#This Row],[Shares]]+Table2[[#This Row],[Saves]])/Table2[[#This Row],[Reach]]</f>
        <v>0.1239051375300927</v>
      </c>
      <c r="R27">
        <f>Table2[[#This Row],[Average Play time]]/Table2[[#This Row],[Duration (sec)]]</f>
        <v>0.32142857142857145</v>
      </c>
    </row>
    <row r="28" spans="1:18" x14ac:dyDescent="0.35">
      <c r="A28">
        <v>27</v>
      </c>
      <c r="B28" s="5" t="s">
        <v>93</v>
      </c>
      <c r="C28">
        <v>47</v>
      </c>
      <c r="D28" s="4">
        <v>45816</v>
      </c>
      <c r="E28" s="3">
        <v>0.96875</v>
      </c>
      <c r="F28">
        <v>84910</v>
      </c>
      <c r="G28">
        <v>127658</v>
      </c>
      <c r="H28">
        <v>7767</v>
      </c>
      <c r="I28">
        <v>3928</v>
      </c>
      <c r="J28">
        <v>32</v>
      </c>
      <c r="K28">
        <v>1128</v>
      </c>
      <c r="L28">
        <v>256</v>
      </c>
      <c r="M28">
        <v>16</v>
      </c>
      <c r="N28" t="s">
        <v>35</v>
      </c>
      <c r="O28">
        <v>23</v>
      </c>
      <c r="P28" t="s">
        <v>87</v>
      </c>
      <c r="Q28">
        <f>(Table2[[#This Row],[Likes]]+Table2[[#This Row],[Comments]]+Table2[[#This Row],[Shares]]+Table2[[#This Row],[Saves]])/Table2[[#This Row],[Reach]]</f>
        <v>0.15139559533623836</v>
      </c>
      <c r="R28">
        <f>Table2[[#This Row],[Average Play time]]/Table2[[#This Row],[Duration (sec)]]</f>
        <v>0.34042553191489361</v>
      </c>
    </row>
    <row r="29" spans="1:18" x14ac:dyDescent="0.35">
      <c r="A29">
        <v>28</v>
      </c>
      <c r="B29" s="5" t="s">
        <v>93</v>
      </c>
      <c r="C29">
        <v>88</v>
      </c>
      <c r="D29" s="4">
        <v>45811</v>
      </c>
      <c r="E29" s="3">
        <v>0.8</v>
      </c>
      <c r="F29">
        <v>299800</v>
      </c>
      <c r="G29">
        <v>373920</v>
      </c>
      <c r="H29">
        <v>33932</v>
      </c>
      <c r="I29">
        <v>19593</v>
      </c>
      <c r="J29">
        <v>160</v>
      </c>
      <c r="K29">
        <v>3777</v>
      </c>
      <c r="L29">
        <v>1280</v>
      </c>
      <c r="M29">
        <v>22</v>
      </c>
      <c r="N29" t="s">
        <v>36</v>
      </c>
      <c r="O29">
        <v>19</v>
      </c>
      <c r="P29" t="s">
        <v>85</v>
      </c>
      <c r="Q29">
        <f>(Table2[[#This Row],[Likes]]+Table2[[#This Row],[Comments]]+Table2[[#This Row],[Shares]]+Table2[[#This Row],[Saves]])/Table2[[#This Row],[Reach]]</f>
        <v>0.19166777851901268</v>
      </c>
      <c r="R29">
        <f>Table2[[#This Row],[Average Play time]]/Table2[[#This Row],[Duration (sec)]]</f>
        <v>0.25</v>
      </c>
    </row>
    <row r="30" spans="1:18" x14ac:dyDescent="0.35">
      <c r="A30">
        <v>29</v>
      </c>
      <c r="B30" s="5" t="s">
        <v>93</v>
      </c>
      <c r="C30">
        <v>72</v>
      </c>
      <c r="D30" s="4">
        <v>45802</v>
      </c>
      <c r="E30" s="2">
        <v>0.18611111111111112</v>
      </c>
      <c r="F30">
        <v>985677</v>
      </c>
      <c r="G30">
        <v>1174176</v>
      </c>
      <c r="H30">
        <v>48432</v>
      </c>
      <c r="I30">
        <v>34414</v>
      </c>
      <c r="J30">
        <v>208</v>
      </c>
      <c r="K30">
        <v>13394</v>
      </c>
      <c r="L30">
        <v>4065</v>
      </c>
      <c r="M30">
        <v>25</v>
      </c>
      <c r="N30" t="s">
        <v>37</v>
      </c>
      <c r="O30">
        <v>4</v>
      </c>
      <c r="P30" t="s">
        <v>87</v>
      </c>
      <c r="Q30">
        <f>(Table2[[#This Row],[Likes]]+Table2[[#This Row],[Comments]]+Table2[[#This Row],[Shares]]+Table2[[#This Row],[Saves]])/Table2[[#This Row],[Reach]]</f>
        <v>9.7849498365083082E-2</v>
      </c>
      <c r="R30">
        <f>Table2[[#This Row],[Average Play time]]/Table2[[#This Row],[Duration (sec)]]</f>
        <v>0.34722222222222221</v>
      </c>
    </row>
    <row r="31" spans="1:18" x14ac:dyDescent="0.35">
      <c r="A31">
        <v>30</v>
      </c>
      <c r="B31" s="5" t="s">
        <v>93</v>
      </c>
      <c r="C31">
        <v>36</v>
      </c>
      <c r="D31" s="4">
        <v>45800</v>
      </c>
      <c r="E31" s="2">
        <v>0.93958333333333333</v>
      </c>
      <c r="F31">
        <v>737984</v>
      </c>
      <c r="G31">
        <v>1021407</v>
      </c>
      <c r="H31">
        <v>38971</v>
      </c>
      <c r="I31">
        <v>41009</v>
      </c>
      <c r="J31">
        <v>89</v>
      </c>
      <c r="K31">
        <v>11187</v>
      </c>
      <c r="L31">
        <v>2951</v>
      </c>
      <c r="M31">
        <v>15</v>
      </c>
      <c r="N31" t="s">
        <v>38</v>
      </c>
      <c r="O31">
        <v>22</v>
      </c>
      <c r="P31" t="s">
        <v>82</v>
      </c>
      <c r="Q31">
        <f>(Table2[[#This Row],[Likes]]+Table2[[#This Row],[Comments]]+Table2[[#This Row],[Shares]]+Table2[[#This Row],[Saves]])/Table2[[#This Row],[Reach]]</f>
        <v>0.12365579741566213</v>
      </c>
      <c r="R31">
        <f>Table2[[#This Row],[Average Play time]]/Table2[[#This Row],[Duration (sec)]]</f>
        <v>0.41666666666666669</v>
      </c>
    </row>
    <row r="32" spans="1:18" x14ac:dyDescent="0.35">
      <c r="A32">
        <v>31</v>
      </c>
      <c r="B32" s="5" t="s">
        <v>93</v>
      </c>
      <c r="C32">
        <v>67</v>
      </c>
      <c r="D32" s="4">
        <v>45799</v>
      </c>
      <c r="E32" s="2">
        <v>0.12291666666666666</v>
      </c>
      <c r="F32">
        <v>135135</v>
      </c>
      <c r="G32">
        <v>180141</v>
      </c>
      <c r="H32">
        <v>7323</v>
      </c>
      <c r="I32">
        <v>2825</v>
      </c>
      <c r="J32">
        <v>745</v>
      </c>
      <c r="K32">
        <v>1664</v>
      </c>
      <c r="L32">
        <v>1009</v>
      </c>
      <c r="M32">
        <v>19</v>
      </c>
      <c r="N32" t="s">
        <v>39</v>
      </c>
      <c r="O32">
        <v>2</v>
      </c>
      <c r="P32" t="s">
        <v>83</v>
      </c>
      <c r="Q32">
        <f>(Table2[[#This Row],[Likes]]+Table2[[#This Row],[Comments]]+Table2[[#This Row],[Shares]]+Table2[[#This Row],[Saves]])/Table2[[#This Row],[Reach]]</f>
        <v>9.2921892921892915E-2</v>
      </c>
      <c r="R32">
        <f>Table2[[#This Row],[Average Play time]]/Table2[[#This Row],[Duration (sec)]]</f>
        <v>0.28358208955223879</v>
      </c>
    </row>
    <row r="33" spans="1:18" x14ac:dyDescent="0.35">
      <c r="A33">
        <v>32</v>
      </c>
      <c r="B33" s="5" t="s">
        <v>93</v>
      </c>
      <c r="C33">
        <v>48</v>
      </c>
      <c r="D33" s="4">
        <v>45797</v>
      </c>
      <c r="E33" s="2">
        <v>0.8666666666666667</v>
      </c>
      <c r="F33">
        <v>1152436</v>
      </c>
      <c r="G33">
        <v>1840274</v>
      </c>
      <c r="H33">
        <v>146101</v>
      </c>
      <c r="I33">
        <v>107615</v>
      </c>
      <c r="J33">
        <v>172</v>
      </c>
      <c r="K33">
        <v>13276</v>
      </c>
      <c r="L33">
        <v>2898</v>
      </c>
      <c r="M33">
        <v>25</v>
      </c>
      <c r="N33" t="s">
        <v>40</v>
      </c>
      <c r="O33">
        <v>20</v>
      </c>
      <c r="P33" t="s">
        <v>85</v>
      </c>
      <c r="Q33">
        <f>(Table2[[#This Row],[Likes]]+Table2[[#This Row],[Comments]]+Table2[[#This Row],[Shares]]+Table2[[#This Row],[Saves]])/Table2[[#This Row],[Reach]]</f>
        <v>0.23182545494934209</v>
      </c>
      <c r="R33">
        <f>Table2[[#This Row],[Average Play time]]/Table2[[#This Row],[Duration (sec)]]</f>
        <v>0.52083333333333337</v>
      </c>
    </row>
    <row r="34" spans="1:18" x14ac:dyDescent="0.35">
      <c r="A34">
        <v>33</v>
      </c>
      <c r="B34" s="5" t="s">
        <v>93</v>
      </c>
      <c r="C34">
        <v>60</v>
      </c>
      <c r="D34" s="4">
        <v>45796</v>
      </c>
      <c r="E34" s="2">
        <v>0.84930555555555554</v>
      </c>
      <c r="F34">
        <v>331249</v>
      </c>
      <c r="G34">
        <v>465402</v>
      </c>
      <c r="H34">
        <v>16126</v>
      </c>
      <c r="I34">
        <v>6161</v>
      </c>
      <c r="J34">
        <v>39</v>
      </c>
      <c r="K34">
        <v>2213</v>
      </c>
      <c r="L34">
        <v>811</v>
      </c>
      <c r="M34">
        <v>25</v>
      </c>
      <c r="N34" t="s">
        <v>41</v>
      </c>
      <c r="O34">
        <v>20</v>
      </c>
      <c r="P34" t="s">
        <v>86</v>
      </c>
      <c r="Q34">
        <f>(Table2[[#This Row],[Likes]]+Table2[[#This Row],[Comments]]+Table2[[#This Row],[Shares]]+Table2[[#This Row],[Saves]])/Table2[[#This Row],[Reach]]</f>
        <v>7.4080223638410977E-2</v>
      </c>
      <c r="R34">
        <f>Table2[[#This Row],[Average Play time]]/Table2[[#This Row],[Duration (sec)]]</f>
        <v>0.41666666666666669</v>
      </c>
    </row>
    <row r="35" spans="1:18" x14ac:dyDescent="0.35">
      <c r="A35">
        <v>34</v>
      </c>
      <c r="B35" s="5" t="s">
        <v>93</v>
      </c>
      <c r="C35">
        <v>45</v>
      </c>
      <c r="D35" s="4">
        <v>45768</v>
      </c>
      <c r="E35" s="2">
        <v>0.17708333333333334</v>
      </c>
      <c r="F35">
        <v>63842</v>
      </c>
      <c r="G35">
        <v>100421</v>
      </c>
      <c r="H35">
        <v>7182</v>
      </c>
      <c r="I35">
        <v>718</v>
      </c>
      <c r="J35">
        <v>107</v>
      </c>
      <c r="K35">
        <v>317</v>
      </c>
      <c r="L35">
        <v>304</v>
      </c>
      <c r="M35">
        <v>20</v>
      </c>
      <c r="N35" t="s">
        <v>42</v>
      </c>
      <c r="O35">
        <v>4</v>
      </c>
      <c r="P35" t="s">
        <v>86</v>
      </c>
      <c r="Q35">
        <f>(Table2[[#This Row],[Likes]]+Table2[[#This Row],[Comments]]+Table2[[#This Row],[Shares]]+Table2[[#This Row],[Saves]])/Table2[[#This Row],[Reach]]</f>
        <v>0.13038438645405845</v>
      </c>
      <c r="R35">
        <f>Table2[[#This Row],[Average Play time]]/Table2[[#This Row],[Duration (sec)]]</f>
        <v>0.44444444444444442</v>
      </c>
    </row>
    <row r="36" spans="1:18" x14ac:dyDescent="0.35">
      <c r="A36">
        <v>35</v>
      </c>
      <c r="B36" s="5" t="s">
        <v>93</v>
      </c>
      <c r="C36">
        <v>80</v>
      </c>
      <c r="D36" s="4">
        <v>45765</v>
      </c>
      <c r="E36" s="2">
        <v>0.81874999999999998</v>
      </c>
      <c r="F36">
        <v>182233</v>
      </c>
      <c r="G36">
        <v>270647</v>
      </c>
      <c r="H36">
        <v>21893</v>
      </c>
      <c r="I36">
        <v>242</v>
      </c>
      <c r="J36">
        <v>18</v>
      </c>
      <c r="K36">
        <v>159</v>
      </c>
      <c r="L36">
        <v>236</v>
      </c>
      <c r="M36">
        <v>33</v>
      </c>
      <c r="N36" t="s">
        <v>43</v>
      </c>
      <c r="O36">
        <v>19</v>
      </c>
      <c r="P36" t="s">
        <v>82</v>
      </c>
      <c r="Q36">
        <f>(Table2[[#This Row],[Likes]]+Table2[[#This Row],[Comments]]+Table2[[#This Row],[Shares]]+Table2[[#This Row],[Saves]])/Table2[[#This Row],[Reach]]</f>
        <v>0.12243666075847953</v>
      </c>
      <c r="R36">
        <f>Table2[[#This Row],[Average Play time]]/Table2[[#This Row],[Duration (sec)]]</f>
        <v>0.41249999999999998</v>
      </c>
    </row>
    <row r="37" spans="1:18" x14ac:dyDescent="0.35">
      <c r="A37">
        <v>36</v>
      </c>
      <c r="B37" s="1" t="s">
        <v>92</v>
      </c>
      <c r="C37">
        <v>47</v>
      </c>
      <c r="D37" s="4">
        <v>45765</v>
      </c>
      <c r="E37" s="2">
        <v>4.3055555555555555E-2</v>
      </c>
      <c r="F37">
        <v>499250</v>
      </c>
      <c r="G37">
        <v>650125</v>
      </c>
      <c r="H37">
        <v>93277</v>
      </c>
      <c r="I37">
        <v>29349</v>
      </c>
      <c r="J37">
        <v>88</v>
      </c>
      <c r="K37">
        <v>3964</v>
      </c>
      <c r="L37">
        <v>669</v>
      </c>
      <c r="M37">
        <v>24</v>
      </c>
      <c r="N37" t="s">
        <v>44</v>
      </c>
      <c r="O37">
        <v>1</v>
      </c>
      <c r="P37" t="s">
        <v>82</v>
      </c>
      <c r="Q37">
        <f>(Table2[[#This Row],[Likes]]+Table2[[#This Row],[Comments]]+Table2[[#This Row],[Shares]]+Table2[[#This Row],[Saves]])/Table2[[#This Row],[Reach]]</f>
        <v>0.25373660490736105</v>
      </c>
      <c r="R37">
        <f>Table2[[#This Row],[Average Play time]]/Table2[[#This Row],[Duration (sec)]]</f>
        <v>0.51063829787234039</v>
      </c>
    </row>
    <row r="38" spans="1:18" x14ac:dyDescent="0.35">
      <c r="A38">
        <v>37</v>
      </c>
      <c r="B38" s="1" t="s">
        <v>92</v>
      </c>
      <c r="C38">
        <v>29</v>
      </c>
      <c r="D38" s="4">
        <v>45763</v>
      </c>
      <c r="E38" s="2">
        <v>0.17083333333333334</v>
      </c>
      <c r="F38">
        <v>176789</v>
      </c>
      <c r="G38">
        <v>233970</v>
      </c>
      <c r="H38">
        <v>17714</v>
      </c>
      <c r="I38">
        <v>5028</v>
      </c>
      <c r="J38">
        <v>26</v>
      </c>
      <c r="K38">
        <v>2834</v>
      </c>
      <c r="L38">
        <v>730</v>
      </c>
      <c r="M38">
        <v>11</v>
      </c>
      <c r="N38" t="s">
        <v>45</v>
      </c>
      <c r="O38">
        <v>4</v>
      </c>
      <c r="P38" t="s">
        <v>84</v>
      </c>
      <c r="Q38">
        <f>(Table2[[#This Row],[Likes]]+Table2[[#This Row],[Comments]]+Table2[[#This Row],[Shares]]+Table2[[#This Row],[Saves]])/Table2[[#This Row],[Reach]]</f>
        <v>0.14481670239664232</v>
      </c>
      <c r="R38">
        <f>Table2[[#This Row],[Average Play time]]/Table2[[#This Row],[Duration (sec)]]</f>
        <v>0.37931034482758619</v>
      </c>
    </row>
    <row r="39" spans="1:18" x14ac:dyDescent="0.35">
      <c r="A39">
        <v>38</v>
      </c>
      <c r="B39" s="1" t="s">
        <v>92</v>
      </c>
      <c r="C39">
        <v>47</v>
      </c>
      <c r="D39" s="4">
        <v>45762</v>
      </c>
      <c r="E39" s="2">
        <v>0.81388888888888888</v>
      </c>
      <c r="F39">
        <v>105821</v>
      </c>
      <c r="G39">
        <v>149650</v>
      </c>
      <c r="H39">
        <v>16072</v>
      </c>
      <c r="I39">
        <v>2590</v>
      </c>
      <c r="J39">
        <v>25</v>
      </c>
      <c r="K39">
        <v>1160</v>
      </c>
      <c r="L39">
        <v>447</v>
      </c>
      <c r="M39">
        <v>15</v>
      </c>
      <c r="N39" t="s">
        <v>46</v>
      </c>
      <c r="O39">
        <v>19</v>
      </c>
      <c r="P39" t="s">
        <v>85</v>
      </c>
      <c r="Q39">
        <f>(Table2[[#This Row],[Likes]]+Table2[[#This Row],[Comments]]+Table2[[#This Row],[Shares]]+Table2[[#This Row],[Saves]])/Table2[[#This Row],[Reach]]</f>
        <v>0.18755256518082422</v>
      </c>
      <c r="R39">
        <f>Table2[[#This Row],[Average Play time]]/Table2[[#This Row],[Duration (sec)]]</f>
        <v>0.31914893617021278</v>
      </c>
    </row>
    <row r="40" spans="1:18" x14ac:dyDescent="0.35">
      <c r="A40">
        <v>39</v>
      </c>
      <c r="B40" s="1" t="s">
        <v>92</v>
      </c>
      <c r="C40">
        <v>54</v>
      </c>
      <c r="D40" s="4">
        <v>45761</v>
      </c>
      <c r="E40" s="2">
        <v>0.87847222222222221</v>
      </c>
      <c r="F40">
        <v>298467</v>
      </c>
      <c r="G40">
        <v>384979</v>
      </c>
      <c r="H40">
        <v>23293</v>
      </c>
      <c r="I40">
        <v>13687</v>
      </c>
      <c r="J40">
        <v>87</v>
      </c>
      <c r="K40">
        <v>10668</v>
      </c>
      <c r="L40">
        <v>4111</v>
      </c>
      <c r="M40">
        <v>15</v>
      </c>
      <c r="N40" t="s">
        <v>47</v>
      </c>
      <c r="O40">
        <v>21</v>
      </c>
      <c r="P40" t="s">
        <v>86</v>
      </c>
      <c r="Q40">
        <f>(Table2[[#This Row],[Likes]]+Table2[[#This Row],[Comments]]+Table2[[#This Row],[Shares]]+Table2[[#This Row],[Saves]])/Table2[[#This Row],[Reach]]</f>
        <v>0.15993392904408194</v>
      </c>
      <c r="R40">
        <f>Table2[[#This Row],[Average Play time]]/Table2[[#This Row],[Duration (sec)]]</f>
        <v>0.27777777777777779</v>
      </c>
    </row>
    <row r="41" spans="1:18" x14ac:dyDescent="0.35">
      <c r="A41">
        <v>40</v>
      </c>
      <c r="B41" s="1" t="s">
        <v>92</v>
      </c>
      <c r="C41">
        <v>42</v>
      </c>
      <c r="D41" s="4">
        <v>45761</v>
      </c>
      <c r="E41" s="2">
        <v>0.25277777777777777</v>
      </c>
      <c r="F41">
        <v>494803</v>
      </c>
      <c r="G41">
        <v>650036</v>
      </c>
      <c r="H41">
        <v>64688</v>
      </c>
      <c r="I41">
        <v>5269</v>
      </c>
      <c r="J41">
        <v>30</v>
      </c>
      <c r="K41">
        <v>3252</v>
      </c>
      <c r="L41">
        <v>1747</v>
      </c>
      <c r="M41">
        <v>24</v>
      </c>
      <c r="N41" t="s">
        <v>48</v>
      </c>
      <c r="O41">
        <v>6</v>
      </c>
      <c r="P41" t="s">
        <v>86</v>
      </c>
      <c r="Q41">
        <f>(Table2[[#This Row],[Likes]]+Table2[[#This Row],[Comments]]+Table2[[#This Row],[Shares]]+Table2[[#This Row],[Saves]])/Table2[[#This Row],[Reach]]</f>
        <v>0.1480164833277082</v>
      </c>
      <c r="R41">
        <f>Table2[[#This Row],[Average Play time]]/Table2[[#This Row],[Duration (sec)]]</f>
        <v>0.5714285714285714</v>
      </c>
    </row>
    <row r="42" spans="1:18" x14ac:dyDescent="0.35">
      <c r="A42">
        <v>41</v>
      </c>
      <c r="B42" s="5" t="s">
        <v>93</v>
      </c>
      <c r="C42">
        <v>92</v>
      </c>
      <c r="D42" s="4">
        <v>45759</v>
      </c>
      <c r="E42" s="3">
        <v>0.85416666666666663</v>
      </c>
      <c r="F42">
        <v>37819</v>
      </c>
      <c r="G42">
        <v>64194</v>
      </c>
      <c r="H42">
        <v>2057</v>
      </c>
      <c r="I42">
        <v>218</v>
      </c>
      <c r="J42">
        <v>3</v>
      </c>
      <c r="K42">
        <v>200</v>
      </c>
      <c r="L42">
        <v>65</v>
      </c>
      <c r="M42">
        <v>18</v>
      </c>
      <c r="N42" t="s">
        <v>49</v>
      </c>
      <c r="O42">
        <v>20</v>
      </c>
      <c r="P42" t="s">
        <v>88</v>
      </c>
      <c r="Q42">
        <f>(Table2[[#This Row],[Likes]]+Table2[[#This Row],[Comments]]+Table2[[#This Row],[Shares]]+Table2[[#This Row],[Saves]])/Table2[[#This Row],[Reach]]</f>
        <v>6.5522620904836196E-2</v>
      </c>
      <c r="R42">
        <f>Table2[[#This Row],[Average Play time]]/Table2[[#This Row],[Duration (sec)]]</f>
        <v>0.19565217391304349</v>
      </c>
    </row>
    <row r="43" spans="1:18" x14ac:dyDescent="0.35">
      <c r="A43">
        <v>42</v>
      </c>
      <c r="B43" s="5" t="s">
        <v>93</v>
      </c>
      <c r="C43">
        <v>23</v>
      </c>
      <c r="D43" s="4">
        <v>45757</v>
      </c>
      <c r="E43" s="3">
        <v>0.80833333333333335</v>
      </c>
      <c r="F43">
        <v>74042</v>
      </c>
      <c r="G43">
        <v>119782</v>
      </c>
      <c r="H43">
        <v>6501</v>
      </c>
      <c r="I43">
        <v>1267</v>
      </c>
      <c r="J43">
        <v>10</v>
      </c>
      <c r="K43">
        <v>410</v>
      </c>
      <c r="L43">
        <v>196</v>
      </c>
      <c r="M43">
        <v>12</v>
      </c>
      <c r="N43" t="s">
        <v>50</v>
      </c>
      <c r="O43">
        <v>19</v>
      </c>
      <c r="P43" t="s">
        <v>83</v>
      </c>
      <c r="Q43">
        <f>(Table2[[#This Row],[Likes]]+Table2[[#This Row],[Comments]]+Table2[[#This Row],[Shares]]+Table2[[#This Row],[Saves]])/Table2[[#This Row],[Reach]]</f>
        <v>0.11058588368763675</v>
      </c>
      <c r="R43">
        <f>Table2[[#This Row],[Average Play time]]/Table2[[#This Row],[Duration (sec)]]</f>
        <v>0.52173913043478259</v>
      </c>
    </row>
    <row r="44" spans="1:18" x14ac:dyDescent="0.35">
      <c r="A44">
        <v>43</v>
      </c>
      <c r="B44" s="5" t="s">
        <v>93</v>
      </c>
      <c r="C44">
        <v>28</v>
      </c>
      <c r="D44" s="4">
        <v>45756</v>
      </c>
      <c r="E44" s="3">
        <v>0.32083333333333336</v>
      </c>
      <c r="F44">
        <v>278362</v>
      </c>
      <c r="G44">
        <v>356575</v>
      </c>
      <c r="H44">
        <v>34932</v>
      </c>
      <c r="I44">
        <v>3373</v>
      </c>
      <c r="J44">
        <v>30</v>
      </c>
      <c r="K44">
        <v>2837</v>
      </c>
      <c r="L44">
        <v>710</v>
      </c>
      <c r="M44">
        <v>13</v>
      </c>
      <c r="N44" t="s">
        <v>51</v>
      </c>
      <c r="O44">
        <v>7</v>
      </c>
      <c r="P44" t="s">
        <v>84</v>
      </c>
      <c r="Q44">
        <f>(Table2[[#This Row],[Likes]]+Table2[[#This Row],[Comments]]+Table2[[#This Row],[Shares]]+Table2[[#This Row],[Saves]])/Table2[[#This Row],[Reach]]</f>
        <v>0.14790811964276734</v>
      </c>
      <c r="R44">
        <f>Table2[[#This Row],[Average Play time]]/Table2[[#This Row],[Duration (sec)]]</f>
        <v>0.4642857142857143</v>
      </c>
    </row>
    <row r="45" spans="1:18" x14ac:dyDescent="0.35">
      <c r="A45">
        <v>44</v>
      </c>
      <c r="B45" s="5" t="s">
        <v>93</v>
      </c>
      <c r="C45">
        <v>58</v>
      </c>
      <c r="D45" s="4">
        <v>45705</v>
      </c>
      <c r="E45" s="2">
        <v>0.77222222222222225</v>
      </c>
      <c r="F45">
        <v>572937</v>
      </c>
      <c r="G45">
        <v>803564</v>
      </c>
      <c r="H45">
        <v>42048</v>
      </c>
      <c r="I45">
        <v>22809</v>
      </c>
      <c r="J45">
        <v>70</v>
      </c>
      <c r="K45">
        <v>11817</v>
      </c>
      <c r="L45">
        <v>4001</v>
      </c>
      <c r="M45">
        <v>22</v>
      </c>
      <c r="N45" t="s">
        <v>52</v>
      </c>
      <c r="O45">
        <v>18</v>
      </c>
      <c r="P45" t="s">
        <v>86</v>
      </c>
      <c r="Q45">
        <f>(Table2[[#This Row],[Likes]]+Table2[[#This Row],[Comments]]+Table2[[#This Row],[Shares]]+Table2[[#This Row],[Saves]])/Table2[[#This Row],[Reach]]</f>
        <v>0.13394840968553262</v>
      </c>
      <c r="R45">
        <f>Table2[[#This Row],[Average Play time]]/Table2[[#This Row],[Duration (sec)]]</f>
        <v>0.37931034482758619</v>
      </c>
    </row>
    <row r="46" spans="1:18" x14ac:dyDescent="0.35">
      <c r="A46">
        <v>45</v>
      </c>
      <c r="B46" s="5" t="s">
        <v>93</v>
      </c>
      <c r="C46">
        <v>58</v>
      </c>
      <c r="D46" s="4">
        <v>45700</v>
      </c>
      <c r="E46" s="3">
        <v>0.77430555555555558</v>
      </c>
      <c r="F46">
        <v>35447</v>
      </c>
      <c r="G46">
        <v>57731</v>
      </c>
      <c r="H46">
        <v>3474</v>
      </c>
      <c r="I46">
        <v>413</v>
      </c>
      <c r="J46">
        <v>10</v>
      </c>
      <c r="K46">
        <v>246</v>
      </c>
      <c r="L46">
        <v>86</v>
      </c>
      <c r="M46">
        <v>17</v>
      </c>
      <c r="N46" t="s">
        <v>53</v>
      </c>
      <c r="O46">
        <v>18</v>
      </c>
      <c r="P46" t="s">
        <v>84</v>
      </c>
      <c r="Q46">
        <f>(Table2[[#This Row],[Likes]]+Table2[[#This Row],[Comments]]+Table2[[#This Row],[Shares]]+Table2[[#This Row],[Saves]])/Table2[[#This Row],[Reach]]</f>
        <v>0.11687872034304736</v>
      </c>
      <c r="R46">
        <f>Table2[[#This Row],[Average Play time]]/Table2[[#This Row],[Duration (sec)]]</f>
        <v>0.29310344827586204</v>
      </c>
    </row>
    <row r="47" spans="1:18" x14ac:dyDescent="0.35">
      <c r="A47">
        <v>46</v>
      </c>
      <c r="B47" s="5" t="s">
        <v>93</v>
      </c>
      <c r="C47">
        <v>43</v>
      </c>
      <c r="D47" s="4">
        <v>45699</v>
      </c>
      <c r="E47" s="3">
        <v>0.78194444444444444</v>
      </c>
      <c r="F47">
        <v>44371</v>
      </c>
      <c r="G47">
        <v>72283</v>
      </c>
      <c r="H47">
        <v>2273</v>
      </c>
      <c r="I47">
        <v>466</v>
      </c>
      <c r="J47">
        <v>6</v>
      </c>
      <c r="K47">
        <v>339</v>
      </c>
      <c r="L47">
        <v>87</v>
      </c>
      <c r="M47">
        <v>16</v>
      </c>
      <c r="N47" t="s">
        <v>54</v>
      </c>
      <c r="O47">
        <v>18</v>
      </c>
      <c r="P47" t="s">
        <v>85</v>
      </c>
      <c r="Q47">
        <f>(Table2[[#This Row],[Likes]]+Table2[[#This Row],[Comments]]+Table2[[#This Row],[Shares]]+Table2[[#This Row],[Saves]])/Table2[[#This Row],[Reach]]</f>
        <v>6.9504856775822049E-2</v>
      </c>
      <c r="R47">
        <f>Table2[[#This Row],[Average Play time]]/Table2[[#This Row],[Duration (sec)]]</f>
        <v>0.37209302325581395</v>
      </c>
    </row>
    <row r="48" spans="1:18" x14ac:dyDescent="0.35">
      <c r="A48">
        <v>47</v>
      </c>
      <c r="B48" s="5" t="s">
        <v>93</v>
      </c>
      <c r="C48">
        <v>61</v>
      </c>
      <c r="D48" s="4">
        <v>45696</v>
      </c>
      <c r="E48" s="3">
        <v>0.7729166666666667</v>
      </c>
      <c r="F48">
        <v>51830</v>
      </c>
      <c r="G48">
        <v>77979</v>
      </c>
      <c r="H48">
        <v>4295</v>
      </c>
      <c r="I48">
        <v>1344</v>
      </c>
      <c r="J48">
        <v>2</v>
      </c>
      <c r="K48">
        <v>766</v>
      </c>
      <c r="L48">
        <v>259</v>
      </c>
      <c r="M48">
        <v>15</v>
      </c>
      <c r="N48" t="s">
        <v>55</v>
      </c>
      <c r="O48">
        <v>18</v>
      </c>
      <c r="P48" t="s">
        <v>88</v>
      </c>
      <c r="Q48">
        <f>(Table2[[#This Row],[Likes]]+Table2[[#This Row],[Comments]]+Table2[[#This Row],[Shares]]+Table2[[#This Row],[Saves]])/Table2[[#This Row],[Reach]]</f>
        <v>0.12361566660235385</v>
      </c>
      <c r="R48">
        <f>Table2[[#This Row],[Average Play time]]/Table2[[#This Row],[Duration (sec)]]</f>
        <v>0.24590163934426229</v>
      </c>
    </row>
    <row r="49" spans="1:18" x14ac:dyDescent="0.35">
      <c r="A49">
        <v>48</v>
      </c>
      <c r="B49" s="5" t="s">
        <v>93</v>
      </c>
      <c r="C49">
        <v>33</v>
      </c>
      <c r="D49" s="4">
        <v>45695</v>
      </c>
      <c r="E49" s="3">
        <v>0.77777777777777779</v>
      </c>
      <c r="F49">
        <v>142207</v>
      </c>
      <c r="G49">
        <v>199368</v>
      </c>
      <c r="H49">
        <v>9345</v>
      </c>
      <c r="I49">
        <v>7187</v>
      </c>
      <c r="J49">
        <v>9</v>
      </c>
      <c r="K49">
        <v>2446</v>
      </c>
      <c r="L49">
        <v>865</v>
      </c>
      <c r="M49">
        <v>16</v>
      </c>
      <c r="N49" t="s">
        <v>56</v>
      </c>
      <c r="O49">
        <v>18</v>
      </c>
      <c r="P49" t="s">
        <v>82</v>
      </c>
      <c r="Q49">
        <f>(Table2[[#This Row],[Likes]]+Table2[[#This Row],[Comments]]+Table2[[#This Row],[Shares]]+Table2[[#This Row],[Saves]])/Table2[[#This Row],[Reach]]</f>
        <v>0.13351663420225446</v>
      </c>
      <c r="R49">
        <f>Table2[[#This Row],[Average Play time]]/Table2[[#This Row],[Duration (sec)]]</f>
        <v>0.48484848484848486</v>
      </c>
    </row>
    <row r="50" spans="1:18" x14ac:dyDescent="0.35">
      <c r="A50">
        <v>49</v>
      </c>
      <c r="B50" s="5" t="s">
        <v>93</v>
      </c>
      <c r="C50">
        <v>46</v>
      </c>
      <c r="D50" s="4">
        <v>45691</v>
      </c>
      <c r="E50" s="3">
        <v>0.77500000000000002</v>
      </c>
      <c r="F50">
        <v>205785</v>
      </c>
      <c r="G50">
        <v>283393</v>
      </c>
      <c r="H50">
        <v>16790</v>
      </c>
      <c r="I50">
        <v>10539</v>
      </c>
      <c r="J50">
        <v>49</v>
      </c>
      <c r="K50">
        <v>2482</v>
      </c>
      <c r="L50">
        <v>1026</v>
      </c>
      <c r="M50">
        <v>17</v>
      </c>
      <c r="N50" t="s">
        <v>57</v>
      </c>
      <c r="O50">
        <v>18</v>
      </c>
      <c r="P50" t="s">
        <v>86</v>
      </c>
      <c r="Q50">
        <f>(Table2[[#This Row],[Likes]]+Table2[[#This Row],[Comments]]+Table2[[#This Row],[Shares]]+Table2[[#This Row],[Saves]])/Table2[[#This Row],[Reach]]</f>
        <v>0.14510289865636466</v>
      </c>
      <c r="R50">
        <f>Table2[[#This Row],[Average Play time]]/Table2[[#This Row],[Duration (sec)]]</f>
        <v>0.36956521739130432</v>
      </c>
    </row>
    <row r="51" spans="1:18" x14ac:dyDescent="0.35">
      <c r="A51">
        <v>50</v>
      </c>
      <c r="B51" s="5" t="s">
        <v>93</v>
      </c>
      <c r="C51">
        <v>28</v>
      </c>
      <c r="D51" s="4">
        <v>45689</v>
      </c>
      <c r="E51" s="3">
        <v>0.77986111111111112</v>
      </c>
      <c r="F51">
        <v>48287</v>
      </c>
      <c r="G51">
        <v>74605</v>
      </c>
      <c r="H51">
        <v>3458</v>
      </c>
      <c r="I51">
        <v>684</v>
      </c>
      <c r="J51">
        <v>162</v>
      </c>
      <c r="K51">
        <v>194</v>
      </c>
      <c r="L51">
        <v>142</v>
      </c>
      <c r="M51">
        <v>12</v>
      </c>
      <c r="N51" t="s">
        <v>58</v>
      </c>
      <c r="O51">
        <v>18</v>
      </c>
      <c r="P51" t="s">
        <v>88</v>
      </c>
      <c r="Q51">
        <f>(Table2[[#This Row],[Likes]]+Table2[[#This Row],[Comments]]+Table2[[#This Row],[Shares]]+Table2[[#This Row],[Saves]])/Table2[[#This Row],[Reach]]</f>
        <v>9.3151365792035118E-2</v>
      </c>
      <c r="R51">
        <f>Table2[[#This Row],[Average Play time]]/Table2[[#This Row],[Duration (sec)]]</f>
        <v>0.42857142857142855</v>
      </c>
    </row>
    <row r="52" spans="1:18" x14ac:dyDescent="0.35">
      <c r="A52">
        <v>51</v>
      </c>
      <c r="B52" s="5" t="s">
        <v>93</v>
      </c>
      <c r="C52">
        <v>20</v>
      </c>
      <c r="D52" s="4">
        <v>45688</v>
      </c>
      <c r="E52" s="2">
        <v>0.78611111111111109</v>
      </c>
      <c r="F52">
        <v>40313</v>
      </c>
      <c r="G52">
        <v>61205</v>
      </c>
      <c r="H52">
        <v>3078</v>
      </c>
      <c r="I52">
        <v>375</v>
      </c>
      <c r="J52">
        <v>9</v>
      </c>
      <c r="K52">
        <v>271</v>
      </c>
      <c r="L52">
        <v>279</v>
      </c>
      <c r="M52">
        <v>10</v>
      </c>
      <c r="N52" t="s">
        <v>59</v>
      </c>
      <c r="O52">
        <v>18</v>
      </c>
      <c r="P52" t="s">
        <v>82</v>
      </c>
      <c r="Q52">
        <f>(Table2[[#This Row],[Likes]]+Table2[[#This Row],[Comments]]+Table2[[#This Row],[Shares]]+Table2[[#This Row],[Saves]])/Table2[[#This Row],[Reach]]</f>
        <v>9.2600401855480866E-2</v>
      </c>
      <c r="R52">
        <f>Table2[[#This Row],[Average Play time]]/Table2[[#This Row],[Duration (sec)]]</f>
        <v>0.5</v>
      </c>
    </row>
    <row r="53" spans="1:18" x14ac:dyDescent="0.35">
      <c r="A53">
        <v>52</v>
      </c>
      <c r="B53" s="5" t="s">
        <v>93</v>
      </c>
      <c r="C53">
        <v>68</v>
      </c>
      <c r="D53" s="4">
        <v>45687</v>
      </c>
      <c r="E53" s="2">
        <v>0.77361111111111114</v>
      </c>
      <c r="F53">
        <v>1998581</v>
      </c>
      <c r="G53">
        <v>2682971</v>
      </c>
      <c r="H53">
        <v>198009</v>
      </c>
      <c r="I53">
        <v>89970</v>
      </c>
      <c r="J53">
        <v>437</v>
      </c>
      <c r="K53">
        <v>27382</v>
      </c>
      <c r="L53">
        <v>23137</v>
      </c>
      <c r="M53">
        <v>23</v>
      </c>
      <c r="N53" t="s">
        <v>60</v>
      </c>
      <c r="O53">
        <v>18</v>
      </c>
      <c r="P53" t="s">
        <v>83</v>
      </c>
      <c r="Q53">
        <f>(Table2[[#This Row],[Likes]]+Table2[[#This Row],[Comments]]+Table2[[#This Row],[Shares]]+Table2[[#This Row],[Saves]])/Table2[[#This Row],[Reach]]</f>
        <v>0.1580111088817516</v>
      </c>
      <c r="R53">
        <f>Table2[[#This Row],[Average Play time]]/Table2[[#This Row],[Duration (sec)]]</f>
        <v>0.33823529411764708</v>
      </c>
    </row>
    <row r="54" spans="1:18" x14ac:dyDescent="0.35">
      <c r="A54">
        <v>53</v>
      </c>
      <c r="B54" s="5" t="s">
        <v>93</v>
      </c>
      <c r="C54">
        <v>45</v>
      </c>
      <c r="D54" s="4">
        <v>45686</v>
      </c>
      <c r="E54" s="2">
        <v>0.77222222222222225</v>
      </c>
      <c r="F54">
        <v>48682</v>
      </c>
      <c r="G54">
        <v>82024</v>
      </c>
      <c r="H54">
        <v>4722</v>
      </c>
      <c r="I54">
        <v>608</v>
      </c>
      <c r="J54">
        <v>4</v>
      </c>
      <c r="K54">
        <v>165</v>
      </c>
      <c r="L54">
        <v>147</v>
      </c>
      <c r="M54">
        <v>21</v>
      </c>
      <c r="N54" t="s">
        <v>61</v>
      </c>
      <c r="O54">
        <v>18</v>
      </c>
      <c r="P54" t="s">
        <v>84</v>
      </c>
      <c r="Q54">
        <f>(Table2[[#This Row],[Likes]]+Table2[[#This Row],[Comments]]+Table2[[#This Row],[Shares]]+Table2[[#This Row],[Saves]])/Table2[[#This Row],[Reach]]</f>
        <v>0.11295756131629761</v>
      </c>
      <c r="R54">
        <f>Table2[[#This Row],[Average Play time]]/Table2[[#This Row],[Duration (sec)]]</f>
        <v>0.46666666666666667</v>
      </c>
    </row>
    <row r="55" spans="1:18" x14ac:dyDescent="0.35">
      <c r="A55">
        <v>54</v>
      </c>
      <c r="B55" s="5" t="s">
        <v>93</v>
      </c>
      <c r="C55">
        <v>60</v>
      </c>
      <c r="D55" s="4">
        <v>45685</v>
      </c>
      <c r="E55" s="2">
        <v>0.7680555555555556</v>
      </c>
      <c r="F55">
        <v>41721</v>
      </c>
      <c r="G55">
        <v>56077</v>
      </c>
      <c r="H55">
        <v>2518</v>
      </c>
      <c r="I55">
        <v>666</v>
      </c>
      <c r="J55">
        <v>8</v>
      </c>
      <c r="K55">
        <v>231</v>
      </c>
      <c r="L55">
        <v>279</v>
      </c>
      <c r="M55">
        <v>16</v>
      </c>
      <c r="N55" t="s">
        <v>62</v>
      </c>
      <c r="O55">
        <v>18</v>
      </c>
      <c r="P55" t="s">
        <v>85</v>
      </c>
      <c r="Q55">
        <f>(Table2[[#This Row],[Likes]]+Table2[[#This Row],[Comments]]+Table2[[#This Row],[Shares]]+Table2[[#This Row],[Saves]])/Table2[[#This Row],[Reach]]</f>
        <v>8.2045013302653347E-2</v>
      </c>
      <c r="R55">
        <f>Table2[[#This Row],[Average Play time]]/Table2[[#This Row],[Duration (sec)]]</f>
        <v>0.26666666666666666</v>
      </c>
    </row>
    <row r="56" spans="1:18" x14ac:dyDescent="0.35">
      <c r="A56">
        <v>55</v>
      </c>
      <c r="B56" s="5" t="s">
        <v>93</v>
      </c>
      <c r="C56">
        <v>65</v>
      </c>
      <c r="D56" s="4">
        <v>45683</v>
      </c>
      <c r="E56" s="2">
        <v>0.7729166666666667</v>
      </c>
      <c r="F56">
        <v>686692</v>
      </c>
      <c r="G56">
        <v>868971</v>
      </c>
      <c r="H56">
        <v>97564</v>
      </c>
      <c r="I56">
        <v>81214</v>
      </c>
      <c r="J56">
        <v>115</v>
      </c>
      <c r="K56">
        <v>10611</v>
      </c>
      <c r="L56">
        <v>3713</v>
      </c>
      <c r="M56">
        <v>25</v>
      </c>
      <c r="N56" t="s">
        <v>63</v>
      </c>
      <c r="O56">
        <v>18</v>
      </c>
      <c r="P56" t="s">
        <v>87</v>
      </c>
      <c r="Q56">
        <f>(Table2[[#This Row],[Likes]]+Table2[[#This Row],[Comments]]+Table2[[#This Row],[Shares]]+Table2[[#This Row],[Saves]])/Table2[[#This Row],[Reach]]</f>
        <v>0.27596651774012221</v>
      </c>
      <c r="R56">
        <f>Table2[[#This Row],[Average Play time]]/Table2[[#This Row],[Duration (sec)]]</f>
        <v>0.38461538461538464</v>
      </c>
    </row>
    <row r="57" spans="1:18" x14ac:dyDescent="0.35">
      <c r="A57">
        <v>56</v>
      </c>
      <c r="B57" s="1" t="s">
        <v>92</v>
      </c>
      <c r="C57">
        <v>17</v>
      </c>
      <c r="D57" s="4">
        <v>45681</v>
      </c>
      <c r="E57" s="2">
        <v>0.76527777777777772</v>
      </c>
      <c r="F57">
        <v>40506</v>
      </c>
      <c r="G57">
        <v>65074</v>
      </c>
      <c r="H57">
        <v>2924</v>
      </c>
      <c r="I57">
        <v>244</v>
      </c>
      <c r="J57">
        <v>6</v>
      </c>
      <c r="K57">
        <v>233</v>
      </c>
      <c r="L57">
        <v>163</v>
      </c>
      <c r="M57">
        <v>8</v>
      </c>
      <c r="N57" t="s">
        <v>64</v>
      </c>
      <c r="O57">
        <v>18</v>
      </c>
      <c r="P57" t="s">
        <v>82</v>
      </c>
      <c r="Q57">
        <f>(Table2[[#This Row],[Likes]]+Table2[[#This Row],[Comments]]+Table2[[#This Row],[Shares]]+Table2[[#This Row],[Saves]])/Table2[[#This Row],[Reach]]</f>
        <v>8.4110995901841706E-2</v>
      </c>
      <c r="R57">
        <f>Table2[[#This Row],[Average Play time]]/Table2[[#This Row],[Duration (sec)]]</f>
        <v>0.47058823529411764</v>
      </c>
    </row>
    <row r="58" spans="1:18" x14ac:dyDescent="0.35">
      <c r="A58">
        <v>57</v>
      </c>
      <c r="B58" s="1" t="s">
        <v>92</v>
      </c>
      <c r="C58">
        <v>20</v>
      </c>
      <c r="D58" s="4">
        <v>45680</v>
      </c>
      <c r="E58" s="2">
        <v>0.7631944444444444</v>
      </c>
      <c r="F58">
        <v>40582</v>
      </c>
      <c r="G58">
        <v>58697</v>
      </c>
      <c r="H58">
        <v>3039</v>
      </c>
      <c r="I58">
        <v>533</v>
      </c>
      <c r="J58">
        <v>6</v>
      </c>
      <c r="K58">
        <v>286</v>
      </c>
      <c r="L58">
        <v>237</v>
      </c>
      <c r="M58">
        <v>8</v>
      </c>
      <c r="N58" t="s">
        <v>64</v>
      </c>
      <c r="O58">
        <v>18</v>
      </c>
      <c r="P58" t="s">
        <v>83</v>
      </c>
      <c r="Q58">
        <f>(Table2[[#This Row],[Likes]]+Table2[[#This Row],[Comments]]+Table2[[#This Row],[Shares]]+Table2[[#This Row],[Saves]])/Table2[[#This Row],[Reach]]</f>
        <v>9.5214627174609434E-2</v>
      </c>
      <c r="R58">
        <f>Table2[[#This Row],[Average Play time]]/Table2[[#This Row],[Duration (sec)]]</f>
        <v>0.4</v>
      </c>
    </row>
    <row r="59" spans="1:18" x14ac:dyDescent="0.35">
      <c r="A59">
        <v>58</v>
      </c>
      <c r="B59" s="1" t="s">
        <v>92</v>
      </c>
      <c r="C59">
        <v>31</v>
      </c>
      <c r="D59" s="4">
        <v>45679</v>
      </c>
      <c r="E59" s="2">
        <v>0.78263888888888888</v>
      </c>
      <c r="F59">
        <v>36798</v>
      </c>
      <c r="G59">
        <v>52184</v>
      </c>
      <c r="H59">
        <v>2667</v>
      </c>
      <c r="I59">
        <v>355</v>
      </c>
      <c r="J59">
        <v>3</v>
      </c>
      <c r="K59">
        <v>177</v>
      </c>
      <c r="L59">
        <v>161</v>
      </c>
      <c r="M59">
        <v>13</v>
      </c>
      <c r="N59" t="s">
        <v>65</v>
      </c>
      <c r="O59">
        <v>18</v>
      </c>
      <c r="P59" t="s">
        <v>84</v>
      </c>
      <c r="Q59">
        <f>(Table2[[#This Row],[Likes]]+Table2[[#This Row],[Comments]]+Table2[[#This Row],[Shares]]+Table2[[#This Row],[Saves]])/Table2[[#This Row],[Reach]]</f>
        <v>8.7015598673840969E-2</v>
      </c>
      <c r="R59">
        <f>Table2[[#This Row],[Average Play time]]/Table2[[#This Row],[Duration (sec)]]</f>
        <v>0.41935483870967744</v>
      </c>
    </row>
    <row r="60" spans="1:18" x14ac:dyDescent="0.35">
      <c r="A60">
        <v>59</v>
      </c>
      <c r="B60" s="1" t="s">
        <v>92</v>
      </c>
      <c r="C60">
        <v>60</v>
      </c>
      <c r="D60" s="4">
        <v>45678</v>
      </c>
      <c r="E60" s="2">
        <v>0.76944444444444449</v>
      </c>
      <c r="F60">
        <v>63514</v>
      </c>
      <c r="G60">
        <v>84444</v>
      </c>
      <c r="H60">
        <v>4236</v>
      </c>
      <c r="I60">
        <v>1078</v>
      </c>
      <c r="J60">
        <v>8</v>
      </c>
      <c r="K60">
        <v>273</v>
      </c>
      <c r="L60">
        <v>120</v>
      </c>
      <c r="M60">
        <v>18</v>
      </c>
      <c r="N60" t="s">
        <v>66</v>
      </c>
      <c r="O60">
        <v>18</v>
      </c>
      <c r="P60" t="s">
        <v>85</v>
      </c>
      <c r="Q60">
        <f>(Table2[[#This Row],[Likes]]+Table2[[#This Row],[Comments]]+Table2[[#This Row],[Shares]]+Table2[[#This Row],[Saves]])/Table2[[#This Row],[Reach]]</f>
        <v>8.8090814623547564E-2</v>
      </c>
      <c r="R60">
        <f>Table2[[#This Row],[Average Play time]]/Table2[[#This Row],[Duration (sec)]]</f>
        <v>0.3</v>
      </c>
    </row>
    <row r="61" spans="1:18" x14ac:dyDescent="0.35">
      <c r="A61">
        <v>60</v>
      </c>
      <c r="B61" s="1" t="s">
        <v>92</v>
      </c>
      <c r="C61">
        <v>43</v>
      </c>
      <c r="D61" s="4">
        <v>45677</v>
      </c>
      <c r="E61" s="2">
        <v>0.76458333333333328</v>
      </c>
      <c r="F61">
        <v>143860</v>
      </c>
      <c r="G61">
        <v>194971</v>
      </c>
      <c r="H61">
        <v>22034</v>
      </c>
      <c r="I61">
        <v>4314</v>
      </c>
      <c r="J61">
        <v>10</v>
      </c>
      <c r="K61">
        <v>2019</v>
      </c>
      <c r="L61">
        <v>456</v>
      </c>
      <c r="M61">
        <v>17</v>
      </c>
      <c r="N61" t="s">
        <v>67</v>
      </c>
      <c r="O61">
        <v>18</v>
      </c>
      <c r="P61" t="s">
        <v>86</v>
      </c>
      <c r="Q61">
        <f>(Table2[[#This Row],[Likes]]+Table2[[#This Row],[Comments]]+Table2[[#This Row],[Shares]]+Table2[[#This Row],[Saves]])/Table2[[#This Row],[Reach]]</f>
        <v>0.19725427498957321</v>
      </c>
      <c r="R61">
        <f>Table2[[#This Row],[Average Play time]]/Table2[[#This Row],[Duration (sec)]]</f>
        <v>0.39534883720930231</v>
      </c>
    </row>
    <row r="62" spans="1:18" x14ac:dyDescent="0.35">
      <c r="A62">
        <v>61</v>
      </c>
      <c r="B62" s="1" t="s">
        <v>92</v>
      </c>
      <c r="C62">
        <v>44</v>
      </c>
      <c r="D62" s="4">
        <v>45675</v>
      </c>
      <c r="E62" s="2">
        <v>0.75694444444444442</v>
      </c>
      <c r="F62">
        <v>180222</v>
      </c>
      <c r="G62">
        <v>238380</v>
      </c>
      <c r="H62">
        <v>12773</v>
      </c>
      <c r="I62">
        <v>8341</v>
      </c>
      <c r="J62">
        <v>12</v>
      </c>
      <c r="K62">
        <v>1703</v>
      </c>
      <c r="L62">
        <v>1197</v>
      </c>
      <c r="M62">
        <v>17</v>
      </c>
      <c r="N62" t="s">
        <v>68</v>
      </c>
      <c r="O62">
        <v>18</v>
      </c>
      <c r="P62" t="s">
        <v>88</v>
      </c>
      <c r="Q62">
        <f>(Table2[[#This Row],[Likes]]+Table2[[#This Row],[Comments]]+Table2[[#This Row],[Shares]]+Table2[[#This Row],[Saves]])/Table2[[#This Row],[Reach]]</f>
        <v>0.1266715495333533</v>
      </c>
      <c r="R62">
        <f>Table2[[#This Row],[Average Play time]]/Table2[[#This Row],[Duration (sec)]]</f>
        <v>0.38636363636363635</v>
      </c>
    </row>
    <row r="63" spans="1:18" x14ac:dyDescent="0.35">
      <c r="A63">
        <v>62</v>
      </c>
      <c r="B63" s="1" t="s">
        <v>92</v>
      </c>
      <c r="C63">
        <v>62</v>
      </c>
      <c r="D63" s="4">
        <v>45674</v>
      </c>
      <c r="E63" s="2">
        <v>0.76458333333333328</v>
      </c>
      <c r="F63">
        <v>98620</v>
      </c>
      <c r="G63">
        <v>128244</v>
      </c>
      <c r="H63">
        <v>9996</v>
      </c>
      <c r="I63">
        <v>2884</v>
      </c>
      <c r="J63">
        <v>20</v>
      </c>
      <c r="K63">
        <v>878</v>
      </c>
      <c r="L63">
        <v>834</v>
      </c>
      <c r="M63">
        <v>19</v>
      </c>
      <c r="N63" t="s">
        <v>69</v>
      </c>
      <c r="O63">
        <v>18</v>
      </c>
      <c r="P63" t="s">
        <v>82</v>
      </c>
      <c r="Q63">
        <f>(Table2[[#This Row],[Likes]]+Table2[[#This Row],[Comments]]+Table2[[#This Row],[Shares]]+Table2[[#This Row],[Saves]])/Table2[[#This Row],[Reach]]</f>
        <v>0.13970796998580409</v>
      </c>
      <c r="R63">
        <f>Table2[[#This Row],[Average Play time]]/Table2[[#This Row],[Duration (sec)]]</f>
        <v>0.30645161290322581</v>
      </c>
    </row>
    <row r="64" spans="1:18" x14ac:dyDescent="0.35">
      <c r="A64">
        <v>63</v>
      </c>
      <c r="B64" s="5" t="s">
        <v>93</v>
      </c>
      <c r="C64">
        <v>17</v>
      </c>
      <c r="D64" s="4">
        <v>45673</v>
      </c>
      <c r="E64" s="2">
        <v>0.78680555555555554</v>
      </c>
      <c r="F64">
        <v>41116</v>
      </c>
      <c r="G64">
        <v>61860</v>
      </c>
      <c r="H64">
        <v>3789</v>
      </c>
      <c r="I64">
        <v>632</v>
      </c>
      <c r="J64">
        <v>6</v>
      </c>
      <c r="K64">
        <v>352</v>
      </c>
      <c r="L64">
        <v>318</v>
      </c>
      <c r="M64">
        <v>9</v>
      </c>
      <c r="N64" t="s">
        <v>70</v>
      </c>
      <c r="O64">
        <v>18</v>
      </c>
      <c r="P64" t="s">
        <v>83</v>
      </c>
      <c r="Q64">
        <f>(Table2[[#This Row],[Likes]]+Table2[[#This Row],[Comments]]+Table2[[#This Row],[Shares]]+Table2[[#This Row],[Saves]])/Table2[[#This Row],[Reach]]</f>
        <v>0.11623212374744625</v>
      </c>
      <c r="R64">
        <f>Table2[[#This Row],[Average Play time]]/Table2[[#This Row],[Duration (sec)]]</f>
        <v>0.52941176470588236</v>
      </c>
    </row>
    <row r="65" spans="1:18" x14ac:dyDescent="0.35">
      <c r="A65">
        <v>64</v>
      </c>
      <c r="B65" s="5" t="s">
        <v>93</v>
      </c>
      <c r="C65">
        <v>36</v>
      </c>
      <c r="D65" s="4">
        <v>45672</v>
      </c>
      <c r="E65" s="2">
        <v>0.78749999999999998</v>
      </c>
      <c r="F65">
        <v>42311</v>
      </c>
      <c r="G65">
        <v>63945</v>
      </c>
      <c r="H65">
        <v>2617</v>
      </c>
      <c r="I65">
        <v>1061</v>
      </c>
      <c r="J65">
        <v>4</v>
      </c>
      <c r="K65">
        <v>414</v>
      </c>
      <c r="L65">
        <v>170</v>
      </c>
      <c r="M65">
        <v>17</v>
      </c>
      <c r="N65" t="s">
        <v>71</v>
      </c>
      <c r="O65">
        <v>18</v>
      </c>
      <c r="P65" t="s">
        <v>84</v>
      </c>
      <c r="Q65">
        <f>(Table2[[#This Row],[Likes]]+Table2[[#This Row],[Comments]]+Table2[[#This Row],[Shares]]+Table2[[#This Row],[Saves]])/Table2[[#This Row],[Reach]]</f>
        <v>9.6806976909078024E-2</v>
      </c>
      <c r="R65">
        <f>Table2[[#This Row],[Average Play time]]/Table2[[#This Row],[Duration (sec)]]</f>
        <v>0.47222222222222221</v>
      </c>
    </row>
    <row r="66" spans="1:18" x14ac:dyDescent="0.35">
      <c r="A66">
        <v>65</v>
      </c>
      <c r="B66" s="5" t="s">
        <v>93</v>
      </c>
      <c r="C66">
        <v>50</v>
      </c>
      <c r="D66" s="4">
        <v>45671</v>
      </c>
      <c r="E66" s="2">
        <v>0.78680555555555554</v>
      </c>
      <c r="F66">
        <v>70162</v>
      </c>
      <c r="G66">
        <v>93653</v>
      </c>
      <c r="H66">
        <v>5114</v>
      </c>
      <c r="I66">
        <v>790</v>
      </c>
      <c r="J66">
        <v>3</v>
      </c>
      <c r="K66">
        <v>236</v>
      </c>
      <c r="L66">
        <v>255</v>
      </c>
      <c r="M66">
        <v>17</v>
      </c>
      <c r="N66" t="s">
        <v>72</v>
      </c>
      <c r="O66">
        <v>18</v>
      </c>
      <c r="P66" t="s">
        <v>85</v>
      </c>
      <c r="Q66">
        <f>(Table2[[#This Row],[Likes]]+Table2[[#This Row],[Comments]]+Table2[[#This Row],[Shares]]+Table2[[#This Row],[Saves]])/Table2[[#This Row],[Reach]]</f>
        <v>8.7554516689946127E-2</v>
      </c>
      <c r="R66">
        <f>Table2[[#This Row],[Average Play time]]/Table2[[#This Row],[Duration (sec)]]</f>
        <v>0.34</v>
      </c>
    </row>
    <row r="67" spans="1:18" x14ac:dyDescent="0.35">
      <c r="A67">
        <v>66</v>
      </c>
      <c r="B67" s="5" t="s">
        <v>93</v>
      </c>
      <c r="C67">
        <v>47</v>
      </c>
      <c r="D67" s="4">
        <v>45670</v>
      </c>
      <c r="E67" s="2">
        <v>0.78819444444444442</v>
      </c>
      <c r="F67">
        <v>128798</v>
      </c>
      <c r="G67">
        <v>159164</v>
      </c>
      <c r="H67">
        <v>5036</v>
      </c>
      <c r="I67">
        <v>2887</v>
      </c>
      <c r="J67">
        <v>14</v>
      </c>
      <c r="K67">
        <v>1346</v>
      </c>
      <c r="L67">
        <v>489</v>
      </c>
      <c r="M67">
        <v>16</v>
      </c>
      <c r="N67" t="s">
        <v>73</v>
      </c>
      <c r="O67">
        <v>18</v>
      </c>
      <c r="P67" t="s">
        <v>86</v>
      </c>
      <c r="Q67">
        <f>(Table2[[#This Row],[Likes]]+Table2[[#This Row],[Comments]]+Table2[[#This Row],[Shares]]+Table2[[#This Row],[Saves]])/Table2[[#This Row],[Reach]]</f>
        <v>7.2074100529511326E-2</v>
      </c>
      <c r="R67">
        <f>Table2[[#This Row],[Average Play time]]/Table2[[#This Row],[Duration (sec)]]</f>
        <v>0.34042553191489361</v>
      </c>
    </row>
    <row r="68" spans="1:18" x14ac:dyDescent="0.35">
      <c r="A68">
        <v>67</v>
      </c>
      <c r="B68" s="5" t="s">
        <v>93</v>
      </c>
      <c r="C68">
        <v>43</v>
      </c>
      <c r="D68" s="4">
        <v>45666</v>
      </c>
      <c r="E68" s="3">
        <v>0.7944444444444444</v>
      </c>
      <c r="F68">
        <v>1486340</v>
      </c>
      <c r="G68">
        <v>2015519</v>
      </c>
      <c r="H68">
        <v>122456</v>
      </c>
      <c r="I68">
        <v>82207</v>
      </c>
      <c r="J68">
        <v>317</v>
      </c>
      <c r="K68">
        <v>20824</v>
      </c>
      <c r="L68">
        <v>20422</v>
      </c>
      <c r="M68">
        <v>17</v>
      </c>
      <c r="N68" t="s">
        <v>74</v>
      </c>
      <c r="O68">
        <v>19</v>
      </c>
      <c r="P68" t="s">
        <v>83</v>
      </c>
      <c r="Q68">
        <f>(Table2[[#This Row],[Likes]]+Table2[[#This Row],[Comments]]+Table2[[#This Row],[Shares]]+Table2[[#This Row],[Saves]])/Table2[[#This Row],[Reach]]</f>
        <v>0.15191948006512643</v>
      </c>
      <c r="R68">
        <f>Table2[[#This Row],[Average Play time]]/Table2[[#This Row],[Duration (sec)]]</f>
        <v>0.39534883720930231</v>
      </c>
    </row>
    <row r="69" spans="1:18" x14ac:dyDescent="0.35">
      <c r="A69">
        <v>68</v>
      </c>
      <c r="B69" s="5" t="s">
        <v>93</v>
      </c>
      <c r="C69">
        <v>27</v>
      </c>
      <c r="D69" s="4">
        <v>45659</v>
      </c>
      <c r="E69" s="3">
        <v>0.82777777777777772</v>
      </c>
      <c r="F69">
        <v>38097</v>
      </c>
      <c r="G69">
        <v>57147</v>
      </c>
      <c r="H69">
        <v>4194</v>
      </c>
      <c r="I69">
        <v>270</v>
      </c>
      <c r="J69">
        <v>9</v>
      </c>
      <c r="K69">
        <v>161</v>
      </c>
      <c r="L69">
        <v>178</v>
      </c>
      <c r="M69">
        <v>16</v>
      </c>
      <c r="N69" t="s">
        <v>78</v>
      </c>
      <c r="O69">
        <v>19</v>
      </c>
      <c r="P69" t="s">
        <v>83</v>
      </c>
      <c r="Q69">
        <f>(Table2[[#This Row],[Likes]]+Table2[[#This Row],[Comments]]+Table2[[#This Row],[Shares]]+Table2[[#This Row],[Saves]])/Table2[[#This Row],[Reach]]</f>
        <v>0.12163687429456388</v>
      </c>
      <c r="R69">
        <f>Table2[[#This Row],[Average Play time]]/Table2[[#This Row],[Duration (sec)]]</f>
        <v>0.59259259259259256</v>
      </c>
    </row>
    <row r="70" spans="1:18" x14ac:dyDescent="0.35">
      <c r="A70">
        <v>69</v>
      </c>
      <c r="B70" s="5" t="s">
        <v>93</v>
      </c>
      <c r="C70">
        <v>80</v>
      </c>
      <c r="D70" s="4">
        <v>45657</v>
      </c>
      <c r="E70" s="2">
        <v>0.89097222222222228</v>
      </c>
      <c r="F70">
        <v>714973</v>
      </c>
      <c r="G70">
        <v>911459</v>
      </c>
      <c r="H70">
        <v>48953</v>
      </c>
      <c r="I70">
        <v>45891</v>
      </c>
      <c r="J70">
        <v>110</v>
      </c>
      <c r="K70">
        <v>4301</v>
      </c>
      <c r="L70">
        <v>4250</v>
      </c>
      <c r="M70">
        <v>22</v>
      </c>
      <c r="N70" t="s">
        <v>77</v>
      </c>
      <c r="O70">
        <v>21</v>
      </c>
      <c r="P70" t="s">
        <v>85</v>
      </c>
      <c r="Q70">
        <f>(Table2[[#This Row],[Likes]]+Table2[[#This Row],[Comments]]+Table2[[#This Row],[Shares]]+Table2[[#This Row],[Saves]])/Table2[[#This Row],[Reach]]</f>
        <v>0.1388234241013297</v>
      </c>
      <c r="R70">
        <f>Table2[[#This Row],[Average Play time]]/Table2[[#This Row],[Duration (sec)]]</f>
        <v>0.27500000000000002</v>
      </c>
    </row>
    <row r="71" spans="1:18" x14ac:dyDescent="0.35">
      <c r="A71">
        <v>70</v>
      </c>
      <c r="B71" s="5" t="s">
        <v>93</v>
      </c>
      <c r="C71">
        <v>45</v>
      </c>
      <c r="D71" s="4">
        <v>45656</v>
      </c>
      <c r="E71" s="2">
        <v>0.9506944444444444</v>
      </c>
      <c r="F71">
        <v>1026085</v>
      </c>
      <c r="G71">
        <v>1319311</v>
      </c>
      <c r="H71">
        <v>115575</v>
      </c>
      <c r="I71">
        <v>43488</v>
      </c>
      <c r="J71">
        <v>210</v>
      </c>
      <c r="K71">
        <v>7984</v>
      </c>
      <c r="L71">
        <v>5663</v>
      </c>
      <c r="M71">
        <v>19</v>
      </c>
      <c r="N71" t="s">
        <v>76</v>
      </c>
      <c r="O71">
        <v>22</v>
      </c>
      <c r="P71" t="s">
        <v>86</v>
      </c>
      <c r="Q71">
        <f>(Table2[[#This Row],[Likes]]+Table2[[#This Row],[Comments]]+Table2[[#This Row],[Shares]]+Table2[[#This Row],[Saves]])/Table2[[#This Row],[Reach]]</f>
        <v>0.16300501420447625</v>
      </c>
      <c r="R71">
        <f>Table2[[#This Row],[Average Play time]]/Table2[[#This Row],[Duration (sec)]]</f>
        <v>0.42222222222222222</v>
      </c>
    </row>
    <row r="72" spans="1:18" x14ac:dyDescent="0.35">
      <c r="A72">
        <v>71</v>
      </c>
      <c r="B72" s="5" t="s">
        <v>93</v>
      </c>
      <c r="C72">
        <v>39</v>
      </c>
      <c r="D72" s="4">
        <v>45651</v>
      </c>
      <c r="E72" s="2">
        <v>0.3576388888888889</v>
      </c>
      <c r="F72">
        <v>434233</v>
      </c>
      <c r="G72">
        <v>686771</v>
      </c>
      <c r="H72">
        <v>51309</v>
      </c>
      <c r="I72">
        <v>1663</v>
      </c>
      <c r="J72">
        <v>17</v>
      </c>
      <c r="K72">
        <v>906</v>
      </c>
      <c r="L72">
        <v>1168</v>
      </c>
      <c r="M72">
        <v>26</v>
      </c>
      <c r="N72" t="s">
        <v>75</v>
      </c>
      <c r="O72">
        <v>8</v>
      </c>
      <c r="P72" t="s">
        <v>84</v>
      </c>
      <c r="Q72">
        <f>(Table2[[#This Row],[Likes]]+Table2[[#This Row],[Comments]]+Table2[[#This Row],[Shares]]+Table2[[#This Row],[Saves]])/Table2[[#This Row],[Reach]]</f>
        <v>0.12411539426989658</v>
      </c>
      <c r="R72">
        <f>Table2[[#This Row],[Average Play time]]/Table2[[#This Row],[Duration (sec)]]</f>
        <v>0.66666666666666663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Dec-01-2024_Dec-01-2025_1387306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kumar Jadhav</cp:lastModifiedBy>
  <cp:lastPrinted>2025-12-26T11:48:22Z</cp:lastPrinted>
  <dcterms:created xsi:type="dcterms:W3CDTF">2025-12-26T10:30:40Z</dcterms:created>
  <dcterms:modified xsi:type="dcterms:W3CDTF">2025-12-26T15:02:57Z</dcterms:modified>
</cp:coreProperties>
</file>